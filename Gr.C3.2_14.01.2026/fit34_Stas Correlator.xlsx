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11970" tabRatio="966"/>
  </bookViews>
  <sheets>
    <sheet name="1_Rh110 in H20" sheetId="13" r:id="rId1"/>
    <sheet name="2_Rh110 in H20" sheetId="14" r:id="rId2"/>
    <sheet name="1_Rh110 in buffer" sheetId="9" r:id="rId3"/>
    <sheet name="2_Rh110 in buffer" sheetId="8" r:id="rId4"/>
    <sheet name="1_EGFP" sheetId="15" r:id="rId5"/>
    <sheet name="2_EGFP" sheetId="6" r:id="rId6"/>
    <sheet name="1_EGFP+Rh110" sheetId="1" r:id="rId7"/>
    <sheet name="2_EGFP+Rh110" sheetId="12" r:id="rId8"/>
    <sheet name="1_Alexa-488-IgG" sheetId="5" r:id="rId9"/>
    <sheet name="2_Alexa-488-IgG" sheetId="4" r:id="rId10"/>
    <sheet name="1_Alexa488-IgG + Rh110" sheetId="11" r:id="rId11"/>
    <sheet name="2_Alexa488-IgG + Rh110" sheetId="10" r:id="rId12"/>
  </sheets>
  <definedNames>
    <definedName name="solver_adj" localSheetId="8" hidden="1">'1_Alexa-488-IgG'!$D$2:$D$4,'1_Alexa-488-IgG'!$D$9:$D$12</definedName>
    <definedName name="solver_adj" localSheetId="10" hidden="1">'1_Alexa488-IgG + Rh110'!$D$2:$D$3,'1_Alexa488-IgG + Rh110'!$D$6,'1_Alexa488-IgG + Rh110'!$D$8:$D$12</definedName>
    <definedName name="solver_adj" localSheetId="4" hidden="1">'1_EGFP'!$D$2:$D$4,'1_EGFP'!$D$9:$D$12</definedName>
    <definedName name="solver_adj" localSheetId="6" hidden="1">'1_EGFP+Rh110'!$D$2:$D$3,'1_EGFP+Rh110'!$D$8:$D$12</definedName>
    <definedName name="solver_adj" localSheetId="2" hidden="1">'1_Rh110 in buffer'!$D$2:$D$5,'1_Rh110 in buffer'!$D$9:$D$10</definedName>
    <definedName name="solver_adj" localSheetId="0" hidden="1">'1_Rh110 in H20'!$D$2:$D$5,'1_Rh110 in H20'!$D$9:$D$10</definedName>
    <definedName name="solver_adj" localSheetId="9" hidden="1">'2_Alexa-488-IgG'!$D$2:$D$4,'2_Alexa-488-IgG'!$D$9:$D$12</definedName>
    <definedName name="solver_adj" localSheetId="11" hidden="1">'2_Alexa488-IgG + Rh110'!$D$2:$D$3,'2_Alexa488-IgG + Rh110'!$D$6,'2_Alexa488-IgG + Rh110'!$D$8:$D$12</definedName>
    <definedName name="solver_adj" localSheetId="5" hidden="1">'2_EGFP'!$D$2:$D$4,'2_EGFP'!$D$9:$D$12</definedName>
    <definedName name="solver_adj" localSheetId="7" hidden="1">'2_EGFP+Rh110'!$D$2:$D$3,'2_EGFP+Rh110'!$D$8:$D$12</definedName>
    <definedName name="solver_adj" localSheetId="3" hidden="1">'2_Rh110 in buffer'!$D$2:$D$5,'2_Rh110 in buffer'!$D$9:$D$10</definedName>
    <definedName name="solver_adj" localSheetId="1" hidden="1">'2_Rh110 in H20'!$D$2:$D$5,'2_Rh110 in H20'!$D$9:$D$10</definedName>
    <definedName name="solver_cvg" localSheetId="8" hidden="1">0.00001</definedName>
    <definedName name="solver_cvg" localSheetId="10" hidden="1">0.00001</definedName>
    <definedName name="solver_cvg" localSheetId="4" hidden="1">0.00001</definedName>
    <definedName name="solver_cvg" localSheetId="6" hidden="1">0.00001</definedName>
    <definedName name="solver_cvg" localSheetId="2" hidden="1">0.00001</definedName>
    <definedName name="solver_cvg" localSheetId="0" hidden="1">0.00001</definedName>
    <definedName name="solver_cvg" localSheetId="9" hidden="1">0.00001</definedName>
    <definedName name="solver_cvg" localSheetId="11" hidden="1">0.0001</definedName>
    <definedName name="solver_cvg" localSheetId="5" hidden="1">0.00001</definedName>
    <definedName name="solver_cvg" localSheetId="7" hidden="1">0.00001</definedName>
    <definedName name="solver_cvg" localSheetId="3" hidden="1">0.00001</definedName>
    <definedName name="solver_cvg" localSheetId="1" hidden="1">0.00001</definedName>
    <definedName name="solver_drv" localSheetId="8" hidden="1">1</definedName>
    <definedName name="solver_drv" localSheetId="10" hidden="1">1</definedName>
    <definedName name="solver_drv" localSheetId="4" hidden="1">1</definedName>
    <definedName name="solver_drv" localSheetId="6" hidden="1">1</definedName>
    <definedName name="solver_drv" localSheetId="2" hidden="1">1</definedName>
    <definedName name="solver_drv" localSheetId="0" hidden="1">1</definedName>
    <definedName name="solver_drv" localSheetId="9" hidden="1">1</definedName>
    <definedName name="solver_drv" localSheetId="11" hidden="1">1</definedName>
    <definedName name="solver_drv" localSheetId="5" hidden="1">1</definedName>
    <definedName name="solver_drv" localSheetId="7" hidden="1">1</definedName>
    <definedName name="solver_drv" localSheetId="3" hidden="1">1</definedName>
    <definedName name="solver_drv" localSheetId="1" hidden="1">1</definedName>
    <definedName name="solver_eng" localSheetId="8" hidden="1">1</definedName>
    <definedName name="solver_eng" localSheetId="10" hidden="1">1</definedName>
    <definedName name="solver_eng" localSheetId="4" hidden="1">1</definedName>
    <definedName name="solver_eng" localSheetId="6" hidden="1">1</definedName>
    <definedName name="solver_eng" localSheetId="2" hidden="1">1</definedName>
    <definedName name="solver_eng" localSheetId="0" hidden="1">1</definedName>
    <definedName name="solver_eng" localSheetId="9" hidden="1">1</definedName>
    <definedName name="solver_eng" localSheetId="11" hidden="1">1</definedName>
    <definedName name="solver_eng" localSheetId="5" hidden="1">1</definedName>
    <definedName name="solver_eng" localSheetId="7" hidden="1">1</definedName>
    <definedName name="solver_eng" localSheetId="3" hidden="1">1</definedName>
    <definedName name="solver_eng" localSheetId="1" hidden="1">1</definedName>
    <definedName name="solver_est" localSheetId="8" hidden="1">1</definedName>
    <definedName name="solver_est" localSheetId="10" hidden="1">1</definedName>
    <definedName name="solver_est" localSheetId="4" hidden="1">1</definedName>
    <definedName name="solver_est" localSheetId="6" hidden="1">1</definedName>
    <definedName name="solver_est" localSheetId="2" hidden="1">1</definedName>
    <definedName name="solver_est" localSheetId="0" hidden="1">1</definedName>
    <definedName name="solver_est" localSheetId="9" hidden="1">1</definedName>
    <definedName name="solver_est" localSheetId="11" hidden="1">1</definedName>
    <definedName name="solver_est" localSheetId="5" hidden="1">1</definedName>
    <definedName name="solver_est" localSheetId="7" hidden="1">1</definedName>
    <definedName name="solver_est" localSheetId="3" hidden="1">1</definedName>
    <definedName name="solver_est" localSheetId="1" hidden="1">1</definedName>
    <definedName name="solver_itr" localSheetId="8" hidden="1">300</definedName>
    <definedName name="solver_itr" localSheetId="10" hidden="1">1000</definedName>
    <definedName name="solver_itr" localSheetId="4" hidden="1">300</definedName>
    <definedName name="solver_itr" localSheetId="6" hidden="1">1000</definedName>
    <definedName name="solver_itr" localSheetId="2" hidden="1">300</definedName>
    <definedName name="solver_itr" localSheetId="0" hidden="1">300</definedName>
    <definedName name="solver_itr" localSheetId="9" hidden="1">300</definedName>
    <definedName name="solver_itr" localSheetId="11" hidden="1">300</definedName>
    <definedName name="solver_itr" localSheetId="5" hidden="1">300</definedName>
    <definedName name="solver_itr" localSheetId="7" hidden="1">300</definedName>
    <definedName name="solver_itr" localSheetId="3" hidden="1">300</definedName>
    <definedName name="solver_itr" localSheetId="1" hidden="1">300</definedName>
    <definedName name="solver_lin" localSheetId="8" hidden="1">2</definedName>
    <definedName name="solver_lin" localSheetId="10" hidden="1">2</definedName>
    <definedName name="solver_lin" localSheetId="4" hidden="1">2</definedName>
    <definedName name="solver_lin" localSheetId="6" hidden="1">2</definedName>
    <definedName name="solver_lin" localSheetId="2" hidden="1">2</definedName>
    <definedName name="solver_lin" localSheetId="0" hidden="1">2</definedName>
    <definedName name="solver_lin" localSheetId="9" hidden="1">2</definedName>
    <definedName name="solver_lin" localSheetId="11" hidden="1">2</definedName>
    <definedName name="solver_lin" localSheetId="5" hidden="1">2</definedName>
    <definedName name="solver_lin" localSheetId="7" hidden="1">2</definedName>
    <definedName name="solver_lin" localSheetId="3" hidden="1">2</definedName>
    <definedName name="solver_lin" localSheetId="1" hidden="1">2</definedName>
    <definedName name="solver_mip" localSheetId="8" hidden="1">2147483647</definedName>
    <definedName name="solver_mip" localSheetId="10" hidden="1">2147483647</definedName>
    <definedName name="solver_mip" localSheetId="4" hidden="1">2147483647</definedName>
    <definedName name="solver_mip" localSheetId="6" hidden="1">2147483647</definedName>
    <definedName name="solver_mip" localSheetId="2" hidden="1">2147483647</definedName>
    <definedName name="solver_mip" localSheetId="0" hidden="1">2147483647</definedName>
    <definedName name="solver_mip" localSheetId="9" hidden="1">2147483647</definedName>
    <definedName name="solver_mip" localSheetId="11" hidden="1">2147483647</definedName>
    <definedName name="solver_mip" localSheetId="5" hidden="1">2147483647</definedName>
    <definedName name="solver_mip" localSheetId="7" hidden="1">2147483647</definedName>
    <definedName name="solver_mip" localSheetId="3" hidden="1">2147483647</definedName>
    <definedName name="solver_mip" localSheetId="1" hidden="1">2147483647</definedName>
    <definedName name="solver_mni" localSheetId="8" hidden="1">30</definedName>
    <definedName name="solver_mni" localSheetId="10" hidden="1">30</definedName>
    <definedName name="solver_mni" localSheetId="4" hidden="1">30</definedName>
    <definedName name="solver_mni" localSheetId="6" hidden="1">30</definedName>
    <definedName name="solver_mni" localSheetId="2" hidden="1">30</definedName>
    <definedName name="solver_mni" localSheetId="0" hidden="1">30</definedName>
    <definedName name="solver_mni" localSheetId="9" hidden="1">30</definedName>
    <definedName name="solver_mni" localSheetId="11" hidden="1">30</definedName>
    <definedName name="solver_mni" localSheetId="5" hidden="1">30</definedName>
    <definedName name="solver_mni" localSheetId="7" hidden="1">30</definedName>
    <definedName name="solver_mni" localSheetId="3" hidden="1">30</definedName>
    <definedName name="solver_mni" localSheetId="1" hidden="1">30</definedName>
    <definedName name="solver_mrt" localSheetId="8" hidden="1">0.075</definedName>
    <definedName name="solver_mrt" localSheetId="10" hidden="1">0.075</definedName>
    <definedName name="solver_mrt" localSheetId="4" hidden="1">0.075</definedName>
    <definedName name="solver_mrt" localSheetId="6" hidden="1">0.075</definedName>
    <definedName name="solver_mrt" localSheetId="2" hidden="1">0.075</definedName>
    <definedName name="solver_mrt" localSheetId="0" hidden="1">0.075</definedName>
    <definedName name="solver_mrt" localSheetId="9" hidden="1">0.075</definedName>
    <definedName name="solver_mrt" localSheetId="11" hidden="1">0.075</definedName>
    <definedName name="solver_mrt" localSheetId="5" hidden="1">0.075</definedName>
    <definedName name="solver_mrt" localSheetId="7" hidden="1">0.075</definedName>
    <definedName name="solver_mrt" localSheetId="3" hidden="1">0.075</definedName>
    <definedName name="solver_mrt" localSheetId="1" hidden="1">0.075</definedName>
    <definedName name="solver_msl" localSheetId="8" hidden="1">2</definedName>
    <definedName name="solver_msl" localSheetId="10" hidden="1">2</definedName>
    <definedName name="solver_msl" localSheetId="4" hidden="1">2</definedName>
    <definedName name="solver_msl" localSheetId="6" hidden="1">2</definedName>
    <definedName name="solver_msl" localSheetId="2" hidden="1">2</definedName>
    <definedName name="solver_msl" localSheetId="0" hidden="1">2</definedName>
    <definedName name="solver_msl" localSheetId="9" hidden="1">2</definedName>
    <definedName name="solver_msl" localSheetId="11" hidden="1">2</definedName>
    <definedName name="solver_msl" localSheetId="5" hidden="1">2</definedName>
    <definedName name="solver_msl" localSheetId="7" hidden="1">2</definedName>
    <definedName name="solver_msl" localSheetId="3" hidden="1">2</definedName>
    <definedName name="solver_msl" localSheetId="1" hidden="1">2</definedName>
    <definedName name="solver_neg" localSheetId="8" hidden="1">1</definedName>
    <definedName name="solver_neg" localSheetId="10" hidden="1">1</definedName>
    <definedName name="solver_neg" localSheetId="4" hidden="1">1</definedName>
    <definedName name="solver_neg" localSheetId="6" hidden="1">1</definedName>
    <definedName name="solver_neg" localSheetId="2" hidden="1">1</definedName>
    <definedName name="solver_neg" localSheetId="0" hidden="1">1</definedName>
    <definedName name="solver_neg" localSheetId="9" hidden="1">1</definedName>
    <definedName name="solver_neg" localSheetId="11" hidden="1">1</definedName>
    <definedName name="solver_neg" localSheetId="5" hidden="1">1</definedName>
    <definedName name="solver_neg" localSheetId="7" hidden="1">1</definedName>
    <definedName name="solver_neg" localSheetId="3" hidden="1">1</definedName>
    <definedName name="solver_neg" localSheetId="1" hidden="1">1</definedName>
    <definedName name="solver_nod" localSheetId="8" hidden="1">2147483647</definedName>
    <definedName name="solver_nod" localSheetId="10" hidden="1">2147483647</definedName>
    <definedName name="solver_nod" localSheetId="4" hidden="1">2147483647</definedName>
    <definedName name="solver_nod" localSheetId="6" hidden="1">2147483647</definedName>
    <definedName name="solver_nod" localSheetId="2" hidden="1">2147483647</definedName>
    <definedName name="solver_nod" localSheetId="0" hidden="1">2147483647</definedName>
    <definedName name="solver_nod" localSheetId="9" hidden="1">2147483647</definedName>
    <definedName name="solver_nod" localSheetId="11" hidden="1">2147483647</definedName>
    <definedName name="solver_nod" localSheetId="5" hidden="1">2147483647</definedName>
    <definedName name="solver_nod" localSheetId="7" hidden="1">2147483647</definedName>
    <definedName name="solver_nod" localSheetId="3" hidden="1">2147483647</definedName>
    <definedName name="solver_nod" localSheetId="1" hidden="1">2147483647</definedName>
    <definedName name="solver_num" localSheetId="8" hidden="1">0</definedName>
    <definedName name="solver_num" localSheetId="10" hidden="1">0</definedName>
    <definedName name="solver_num" localSheetId="4" hidden="1">0</definedName>
    <definedName name="solver_num" localSheetId="6" hidden="1">0</definedName>
    <definedName name="solver_num" localSheetId="2" hidden="1">0</definedName>
    <definedName name="solver_num" localSheetId="0" hidden="1">0</definedName>
    <definedName name="solver_num" localSheetId="9" hidden="1">0</definedName>
    <definedName name="solver_num" localSheetId="11" hidden="1">0</definedName>
    <definedName name="solver_num" localSheetId="5" hidden="1">0</definedName>
    <definedName name="solver_num" localSheetId="7" hidden="1">0</definedName>
    <definedName name="solver_num" localSheetId="3" hidden="1">0</definedName>
    <definedName name="solver_num" localSheetId="1" hidden="1">0</definedName>
    <definedName name="solver_nwt" localSheetId="8" hidden="1">1</definedName>
    <definedName name="solver_nwt" localSheetId="10" hidden="1">1</definedName>
    <definedName name="solver_nwt" localSheetId="4" hidden="1">1</definedName>
    <definedName name="solver_nwt" localSheetId="6" hidden="1">1</definedName>
    <definedName name="solver_nwt" localSheetId="2" hidden="1">1</definedName>
    <definedName name="solver_nwt" localSheetId="0" hidden="1">1</definedName>
    <definedName name="solver_nwt" localSheetId="9" hidden="1">1</definedName>
    <definedName name="solver_nwt" localSheetId="11" hidden="1">1</definedName>
    <definedName name="solver_nwt" localSheetId="5" hidden="1">1</definedName>
    <definedName name="solver_nwt" localSheetId="7" hidden="1">1</definedName>
    <definedName name="solver_nwt" localSheetId="3" hidden="1">1</definedName>
    <definedName name="solver_nwt" localSheetId="1" hidden="1">1</definedName>
    <definedName name="solver_opt" localSheetId="8" hidden="1">'1_Alexa-488-IgG'!$G$2</definedName>
    <definedName name="solver_opt" localSheetId="10" hidden="1">'1_Alexa488-IgG + Rh110'!$G$2</definedName>
    <definedName name="solver_opt" localSheetId="4" hidden="1">'1_EGFP'!$G$2</definedName>
    <definedName name="solver_opt" localSheetId="6" hidden="1">'1_EGFP+Rh110'!$G$2</definedName>
    <definedName name="solver_opt" localSheetId="2" hidden="1">'1_Rh110 in buffer'!$G$2</definedName>
    <definedName name="solver_opt" localSheetId="0" hidden="1">'1_Rh110 in H20'!$G$2</definedName>
    <definedName name="solver_opt" localSheetId="9" hidden="1">'2_Alexa-488-IgG'!$G$2</definedName>
    <definedName name="solver_opt" localSheetId="11" hidden="1">'2_Alexa488-IgG + Rh110'!$G$2</definedName>
    <definedName name="solver_opt" localSheetId="5" hidden="1">'2_EGFP'!$G$2</definedName>
    <definedName name="solver_opt" localSheetId="7" hidden="1">'2_EGFP+Rh110'!$G$2</definedName>
    <definedName name="solver_opt" localSheetId="3" hidden="1">'2_Rh110 in buffer'!$G$2</definedName>
    <definedName name="solver_opt" localSheetId="1" hidden="1">'2_Rh110 in H20'!$G$2</definedName>
    <definedName name="solver_pre" localSheetId="8" hidden="1">0.00001</definedName>
    <definedName name="solver_pre" localSheetId="10" hidden="1">0.00001</definedName>
    <definedName name="solver_pre" localSheetId="4" hidden="1">0.00001</definedName>
    <definedName name="solver_pre" localSheetId="6" hidden="1">0.00001</definedName>
    <definedName name="solver_pre" localSheetId="2" hidden="1">0.00001</definedName>
    <definedName name="solver_pre" localSheetId="0" hidden="1">0.00001</definedName>
    <definedName name="solver_pre" localSheetId="9" hidden="1">0.00001</definedName>
    <definedName name="solver_pre" localSheetId="11" hidden="1">0.00001</definedName>
    <definedName name="solver_pre" localSheetId="5" hidden="1">0.00001</definedName>
    <definedName name="solver_pre" localSheetId="7" hidden="1">0.00001</definedName>
    <definedName name="solver_pre" localSheetId="3" hidden="1">0.00001</definedName>
    <definedName name="solver_pre" localSheetId="1" hidden="1">0.00001</definedName>
    <definedName name="solver_rbv" localSheetId="8" hidden="1">1</definedName>
    <definedName name="solver_rbv" localSheetId="10" hidden="1">1</definedName>
    <definedName name="solver_rbv" localSheetId="4" hidden="1">1</definedName>
    <definedName name="solver_rbv" localSheetId="6" hidden="1">1</definedName>
    <definedName name="solver_rbv" localSheetId="2" hidden="1">1</definedName>
    <definedName name="solver_rbv" localSheetId="0" hidden="1">1</definedName>
    <definedName name="solver_rbv" localSheetId="9" hidden="1">1</definedName>
    <definedName name="solver_rbv" localSheetId="11" hidden="1">1</definedName>
    <definedName name="solver_rbv" localSheetId="5" hidden="1">1</definedName>
    <definedName name="solver_rbv" localSheetId="7" hidden="1">1</definedName>
    <definedName name="solver_rbv" localSheetId="3" hidden="1">1</definedName>
    <definedName name="solver_rbv" localSheetId="1" hidden="1">1</definedName>
    <definedName name="solver_rlx" localSheetId="8" hidden="1">2</definedName>
    <definedName name="solver_rlx" localSheetId="10" hidden="1">2</definedName>
    <definedName name="solver_rlx" localSheetId="4" hidden="1">2</definedName>
    <definedName name="solver_rlx" localSheetId="6" hidden="1">2</definedName>
    <definedName name="solver_rlx" localSheetId="2" hidden="1">2</definedName>
    <definedName name="solver_rlx" localSheetId="0" hidden="1">2</definedName>
    <definedName name="solver_rlx" localSheetId="9" hidden="1">2</definedName>
    <definedName name="solver_rlx" localSheetId="11" hidden="1">2</definedName>
    <definedName name="solver_rlx" localSheetId="5" hidden="1">2</definedName>
    <definedName name="solver_rlx" localSheetId="7" hidden="1">2</definedName>
    <definedName name="solver_rlx" localSheetId="3" hidden="1">2</definedName>
    <definedName name="solver_rlx" localSheetId="1" hidden="1">2</definedName>
    <definedName name="solver_rsd" localSheetId="8" hidden="1">0</definedName>
    <definedName name="solver_rsd" localSheetId="10" hidden="1">0</definedName>
    <definedName name="solver_rsd" localSheetId="4" hidden="1">0</definedName>
    <definedName name="solver_rsd" localSheetId="6" hidden="1">0</definedName>
    <definedName name="solver_rsd" localSheetId="2" hidden="1">0</definedName>
    <definedName name="solver_rsd" localSheetId="0" hidden="1">0</definedName>
    <definedName name="solver_rsd" localSheetId="9" hidden="1">0</definedName>
    <definedName name="solver_rsd" localSheetId="11" hidden="1">0</definedName>
    <definedName name="solver_rsd" localSheetId="5" hidden="1">0</definedName>
    <definedName name="solver_rsd" localSheetId="7" hidden="1">0</definedName>
    <definedName name="solver_rsd" localSheetId="3" hidden="1">0</definedName>
    <definedName name="solver_rsd" localSheetId="1" hidden="1">0</definedName>
    <definedName name="solver_scl" localSheetId="8" hidden="1">1</definedName>
    <definedName name="solver_scl" localSheetId="10" hidden="1">1</definedName>
    <definedName name="solver_scl" localSheetId="4" hidden="1">1</definedName>
    <definedName name="solver_scl" localSheetId="6" hidden="1">1</definedName>
    <definedName name="solver_scl" localSheetId="2" hidden="1">1</definedName>
    <definedName name="solver_scl" localSheetId="0" hidden="1">1</definedName>
    <definedName name="solver_scl" localSheetId="9" hidden="1">1</definedName>
    <definedName name="solver_scl" localSheetId="11" hidden="1">1</definedName>
    <definedName name="solver_scl" localSheetId="5" hidden="1">1</definedName>
    <definedName name="solver_scl" localSheetId="7" hidden="1">1</definedName>
    <definedName name="solver_scl" localSheetId="3" hidden="1">1</definedName>
    <definedName name="solver_scl" localSheetId="1" hidden="1">1</definedName>
    <definedName name="solver_sho" localSheetId="8" hidden="1">2</definedName>
    <definedName name="solver_sho" localSheetId="10" hidden="1">2</definedName>
    <definedName name="solver_sho" localSheetId="4" hidden="1">2</definedName>
    <definedName name="solver_sho" localSheetId="6" hidden="1">2</definedName>
    <definedName name="solver_sho" localSheetId="2" hidden="1">2</definedName>
    <definedName name="solver_sho" localSheetId="0" hidden="1">2</definedName>
    <definedName name="solver_sho" localSheetId="9" hidden="1">2</definedName>
    <definedName name="solver_sho" localSheetId="11" hidden="1">2</definedName>
    <definedName name="solver_sho" localSheetId="5" hidden="1">2</definedName>
    <definedName name="solver_sho" localSheetId="7" hidden="1">2</definedName>
    <definedName name="solver_sho" localSheetId="3" hidden="1">2</definedName>
    <definedName name="solver_sho" localSheetId="1" hidden="1">2</definedName>
    <definedName name="solver_ssz" localSheetId="8" hidden="1">100</definedName>
    <definedName name="solver_ssz" localSheetId="10" hidden="1">100</definedName>
    <definedName name="solver_ssz" localSheetId="4" hidden="1">100</definedName>
    <definedName name="solver_ssz" localSheetId="6" hidden="1">100</definedName>
    <definedName name="solver_ssz" localSheetId="2" hidden="1">100</definedName>
    <definedName name="solver_ssz" localSheetId="0" hidden="1">100</definedName>
    <definedName name="solver_ssz" localSheetId="9" hidden="1">100</definedName>
    <definedName name="solver_ssz" localSheetId="11" hidden="1">100</definedName>
    <definedName name="solver_ssz" localSheetId="5" hidden="1">100</definedName>
    <definedName name="solver_ssz" localSheetId="7" hidden="1">100</definedName>
    <definedName name="solver_ssz" localSheetId="3" hidden="1">100</definedName>
    <definedName name="solver_ssz" localSheetId="1" hidden="1">100</definedName>
    <definedName name="solver_tim" localSheetId="8" hidden="1">100</definedName>
    <definedName name="solver_tim" localSheetId="10" hidden="1">100</definedName>
    <definedName name="solver_tim" localSheetId="4" hidden="1">100</definedName>
    <definedName name="solver_tim" localSheetId="6" hidden="1">100</definedName>
    <definedName name="solver_tim" localSheetId="2" hidden="1">100</definedName>
    <definedName name="solver_tim" localSheetId="0" hidden="1">100</definedName>
    <definedName name="solver_tim" localSheetId="9" hidden="1">100</definedName>
    <definedName name="solver_tim" localSheetId="11" hidden="1">100</definedName>
    <definedName name="solver_tim" localSheetId="5" hidden="1">100</definedName>
    <definedName name="solver_tim" localSheetId="7" hidden="1">100</definedName>
    <definedName name="solver_tim" localSheetId="3" hidden="1">100</definedName>
    <definedName name="solver_tim" localSheetId="1" hidden="1">100</definedName>
    <definedName name="solver_tol" localSheetId="8" hidden="1">0.005</definedName>
    <definedName name="solver_tol" localSheetId="10" hidden="1">0.005</definedName>
    <definedName name="solver_tol" localSheetId="4" hidden="1">0.005</definedName>
    <definedName name="solver_tol" localSheetId="6" hidden="1">0.005</definedName>
    <definedName name="solver_tol" localSheetId="2" hidden="1">0.005</definedName>
    <definedName name="solver_tol" localSheetId="0" hidden="1">0.005</definedName>
    <definedName name="solver_tol" localSheetId="9" hidden="1">0.005</definedName>
    <definedName name="solver_tol" localSheetId="11" hidden="1">0.005</definedName>
    <definedName name="solver_tol" localSheetId="5" hidden="1">0.005</definedName>
    <definedName name="solver_tol" localSheetId="7" hidden="1">0.005</definedName>
    <definedName name="solver_tol" localSheetId="3" hidden="1">0.005</definedName>
    <definedName name="solver_tol" localSheetId="1" hidden="1">0.005</definedName>
    <definedName name="solver_typ" localSheetId="8" hidden="1">2</definedName>
    <definedName name="solver_typ" localSheetId="10" hidden="1">2</definedName>
    <definedName name="solver_typ" localSheetId="4" hidden="1">2</definedName>
    <definedName name="solver_typ" localSheetId="6" hidden="1">2</definedName>
    <definedName name="solver_typ" localSheetId="2" hidden="1">2</definedName>
    <definedName name="solver_typ" localSheetId="0" hidden="1">2</definedName>
    <definedName name="solver_typ" localSheetId="9" hidden="1">2</definedName>
    <definedName name="solver_typ" localSheetId="11" hidden="1">2</definedName>
    <definedName name="solver_typ" localSheetId="5" hidden="1">2</definedName>
    <definedName name="solver_typ" localSheetId="7" hidden="1">2</definedName>
    <definedName name="solver_typ" localSheetId="3" hidden="1">2</definedName>
    <definedName name="solver_typ" localSheetId="1" hidden="1">2</definedName>
    <definedName name="solver_val" localSheetId="8" hidden="1">0</definedName>
    <definedName name="solver_val" localSheetId="10" hidden="1">0</definedName>
    <definedName name="solver_val" localSheetId="4" hidden="1">0</definedName>
    <definedName name="solver_val" localSheetId="6" hidden="1">0</definedName>
    <definedName name="solver_val" localSheetId="2" hidden="1">0</definedName>
    <definedName name="solver_val" localSheetId="0" hidden="1">0</definedName>
    <definedName name="solver_val" localSheetId="9" hidden="1">0</definedName>
    <definedName name="solver_val" localSheetId="11" hidden="1">0</definedName>
    <definedName name="solver_val" localSheetId="5" hidden="1">0</definedName>
    <definedName name="solver_val" localSheetId="7" hidden="1">0</definedName>
    <definedName name="solver_val" localSheetId="3" hidden="1">0</definedName>
    <definedName name="solver_val" localSheetId="1" hidden="1">0</definedName>
    <definedName name="solver_ver" localSheetId="8" hidden="1">3</definedName>
    <definedName name="solver_ver" localSheetId="10" hidden="1">3</definedName>
    <definedName name="solver_ver" localSheetId="4" hidden="1">3</definedName>
    <definedName name="solver_ver" localSheetId="6" hidden="1">3</definedName>
    <definedName name="solver_ver" localSheetId="2" hidden="1">3</definedName>
    <definedName name="solver_ver" localSheetId="0" hidden="1">3</definedName>
    <definedName name="solver_ver" localSheetId="9" hidden="1">3</definedName>
    <definedName name="solver_ver" localSheetId="11" hidden="1">3</definedName>
    <definedName name="solver_ver" localSheetId="5" hidden="1">3</definedName>
    <definedName name="solver_ver" localSheetId="7" hidden="1">3</definedName>
    <definedName name="solver_ver" localSheetId="3" hidden="1">3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G2" i="6" l="1"/>
  <c r="G2" i="15"/>
  <c r="L2" i="13" l="1"/>
  <c r="D7" i="13"/>
  <c r="D6" i="12"/>
  <c r="D6" i="1"/>
  <c r="D7" i="15"/>
  <c r="D5" i="15"/>
  <c r="L2" i="15"/>
  <c r="D4" i="1"/>
  <c r="D5" i="1"/>
  <c r="D7" i="1"/>
  <c r="D5" i="6"/>
  <c r="D7" i="6"/>
  <c r="D4" i="11"/>
  <c r="D5" i="11"/>
  <c r="D7" i="11"/>
  <c r="D5" i="5"/>
  <c r="D7" i="5"/>
  <c r="D7" i="14"/>
  <c r="E229" i="14" s="1"/>
  <c r="F229" i="14" s="1"/>
  <c r="D7" i="10"/>
  <c r="D5" i="10"/>
  <c r="D4" i="10"/>
  <c r="L2" i="10"/>
  <c r="L2" i="11"/>
  <c r="L2" i="12"/>
  <c r="L2" i="1"/>
  <c r="L2" i="4"/>
  <c r="L2" i="5"/>
  <c r="L2" i="6"/>
  <c r="L2" i="14"/>
  <c r="L2" i="8"/>
  <c r="L2" i="9"/>
  <c r="D7" i="4"/>
  <c r="D5" i="4"/>
  <c r="D7" i="9"/>
  <c r="E145" i="9" s="1"/>
  <c r="F145" i="9" s="1"/>
  <c r="D7" i="8"/>
  <c r="E37" i="8" s="1"/>
  <c r="F37" i="8" s="1"/>
  <c r="D4" i="12"/>
  <c r="D5" i="12"/>
  <c r="D7" i="12"/>
  <c r="E171" i="8" l="1"/>
  <c r="F171" i="8" s="1"/>
  <c r="E212" i="13"/>
  <c r="F212" i="13" s="1"/>
  <c r="E7" i="13"/>
  <c r="F7" i="13" s="1"/>
  <c r="E95" i="8"/>
  <c r="F95" i="8" s="1"/>
  <c r="E141" i="8"/>
  <c r="F141" i="8" s="1"/>
  <c r="E76" i="8"/>
  <c r="F76" i="8" s="1"/>
  <c r="E86" i="8"/>
  <c r="F86" i="8" s="1"/>
  <c r="E54" i="8"/>
  <c r="F54" i="8" s="1"/>
  <c r="E11" i="8"/>
  <c r="F11" i="8" s="1"/>
  <c r="E238" i="8"/>
  <c r="F238" i="8" s="1"/>
  <c r="E135" i="8"/>
  <c r="F135" i="8" s="1"/>
  <c r="E134" i="8"/>
  <c r="F134" i="8" s="1"/>
  <c r="E41" i="8"/>
  <c r="F41" i="8" s="1"/>
  <c r="E159" i="8"/>
  <c r="F159" i="8" s="1"/>
  <c r="E47" i="8"/>
  <c r="F47" i="8" s="1"/>
  <c r="E224" i="8"/>
  <c r="F224" i="8" s="1"/>
  <c r="E19" i="8"/>
  <c r="F19" i="8" s="1"/>
  <c r="E34" i="8"/>
  <c r="F34" i="8" s="1"/>
  <c r="E140" i="8"/>
  <c r="F140" i="8" s="1"/>
  <c r="E144" i="8"/>
  <c r="F144" i="8" s="1"/>
  <c r="E98" i="8"/>
  <c r="F98" i="8" s="1"/>
  <c r="E190" i="8"/>
  <c r="F190" i="8" s="1"/>
  <c r="E184" i="8"/>
  <c r="F184" i="8" s="1"/>
  <c r="E116" i="8"/>
  <c r="F116" i="8" s="1"/>
  <c r="E42" i="8"/>
  <c r="F42" i="8" s="1"/>
  <c r="E75" i="8"/>
  <c r="F75" i="8" s="1"/>
  <c r="E28" i="8"/>
  <c r="F28" i="8" s="1"/>
  <c r="E63" i="8"/>
  <c r="F63" i="8" s="1"/>
  <c r="E62" i="8"/>
  <c r="F62" i="8" s="1"/>
  <c r="E123" i="8"/>
  <c r="F123" i="8" s="1"/>
  <c r="E22" i="8"/>
  <c r="F22" i="8" s="1"/>
  <c r="E115" i="8"/>
  <c r="F115" i="8" s="1"/>
  <c r="E80" i="8"/>
  <c r="F80" i="8" s="1"/>
  <c r="E211" i="8"/>
  <c r="F211" i="8" s="1"/>
  <c r="E193" i="8"/>
  <c r="F193" i="8" s="1"/>
  <c r="E51" i="8"/>
  <c r="F51" i="8" s="1"/>
  <c r="E226" i="8"/>
  <c r="F226" i="8" s="1"/>
  <c r="E129" i="8"/>
  <c r="F129" i="8" s="1"/>
  <c r="E58" i="8"/>
  <c r="F58" i="8" s="1"/>
  <c r="E33" i="8"/>
  <c r="F33" i="8" s="1"/>
  <c r="E111" i="8"/>
  <c r="F111" i="8" s="1"/>
  <c r="E126" i="8"/>
  <c r="F126" i="8" s="1"/>
  <c r="E231" i="8"/>
  <c r="F231" i="8" s="1"/>
  <c r="E23" i="8"/>
  <c r="F23" i="8" s="1"/>
  <c r="E92" i="8"/>
  <c r="F92" i="8" s="1"/>
  <c r="E154" i="8"/>
  <c r="F154" i="8" s="1"/>
  <c r="E185" i="8"/>
  <c r="F185" i="8" s="1"/>
  <c r="E142" i="8"/>
  <c r="F142" i="8" s="1"/>
  <c r="E118" i="8"/>
  <c r="F118" i="8" s="1"/>
  <c r="E205" i="8"/>
  <c r="F205" i="8" s="1"/>
  <c r="E180" i="8"/>
  <c r="F180" i="8" s="1"/>
  <c r="E84" i="8"/>
  <c r="F84" i="8" s="1"/>
  <c r="E91" i="8"/>
  <c r="F91" i="8" s="1"/>
  <c r="E167" i="8"/>
  <c r="F167" i="8" s="1"/>
  <c r="E187" i="8"/>
  <c r="F187" i="8" s="1"/>
  <c r="E232" i="8"/>
  <c r="F232" i="8" s="1"/>
  <c r="E196" i="8"/>
  <c r="F196" i="8" s="1"/>
  <c r="E160" i="8"/>
  <c r="F160" i="8" s="1"/>
  <c r="E206" i="8"/>
  <c r="F206" i="8" s="1"/>
  <c r="E174" i="8"/>
  <c r="F174" i="8" s="1"/>
  <c r="E113" i="8"/>
  <c r="F113" i="8" s="1"/>
  <c r="E71" i="8"/>
  <c r="F71" i="8" s="1"/>
  <c r="E145" i="8"/>
  <c r="F145" i="8" s="1"/>
  <c r="E156" i="8"/>
  <c r="F156" i="8" s="1"/>
  <c r="E168" i="8"/>
  <c r="F168" i="8" s="1"/>
  <c r="E220" i="8"/>
  <c r="F220" i="8" s="1"/>
  <c r="E10" i="8"/>
  <c r="F10" i="8" s="1"/>
  <c r="E79" i="8"/>
  <c r="F79" i="8" s="1"/>
  <c r="E122" i="8"/>
  <c r="F122" i="8" s="1"/>
  <c r="E234" i="8"/>
  <c r="F234" i="8" s="1"/>
  <c r="E77" i="8"/>
  <c r="F77" i="8" s="1"/>
  <c r="E90" i="8"/>
  <c r="F90" i="8" s="1"/>
  <c r="E6" i="8"/>
  <c r="F6" i="8" s="1"/>
  <c r="E12" i="8"/>
  <c r="F12" i="8" s="1"/>
  <c r="E44" i="8"/>
  <c r="F44" i="8" s="1"/>
  <c r="E150" i="8"/>
  <c r="F150" i="8" s="1"/>
  <c r="E57" i="8"/>
  <c r="F57" i="8" s="1"/>
  <c r="E155" i="8"/>
  <c r="F155" i="8" s="1"/>
  <c r="E161" i="8"/>
  <c r="F161" i="8" s="1"/>
  <c r="E179" i="8"/>
  <c r="F179" i="8" s="1"/>
  <c r="E216" i="8"/>
  <c r="F216" i="8" s="1"/>
  <c r="E192" i="8"/>
  <c r="F192" i="8" s="1"/>
  <c r="E9" i="8"/>
  <c r="F9" i="8" s="1"/>
  <c r="E136" i="8"/>
  <c r="F136" i="8" s="1"/>
  <c r="E186" i="8"/>
  <c r="F186" i="8" s="1"/>
  <c r="E32" i="8"/>
  <c r="F32" i="8" s="1"/>
  <c r="E3" i="8"/>
  <c r="F3" i="8" s="1"/>
  <c r="E67" i="8"/>
  <c r="F67" i="8" s="1"/>
  <c r="E53" i="8"/>
  <c r="F53" i="8" s="1"/>
  <c r="E93" i="8"/>
  <c r="F93" i="8" s="1"/>
  <c r="E49" i="8"/>
  <c r="F49" i="8" s="1"/>
  <c r="E212" i="8"/>
  <c r="F212" i="8" s="1"/>
  <c r="E38" i="8"/>
  <c r="F38" i="8" s="1"/>
  <c r="E183" i="8"/>
  <c r="F183" i="8" s="1"/>
  <c r="E108" i="8"/>
  <c r="F108" i="8" s="1"/>
  <c r="E18" i="8"/>
  <c r="F18" i="8" s="1"/>
  <c r="E68" i="8"/>
  <c r="F68" i="8" s="1"/>
  <c r="E83" i="8"/>
  <c r="F83" i="8" s="1"/>
  <c r="E39" i="8"/>
  <c r="F39" i="8" s="1"/>
  <c r="E131" i="8"/>
  <c r="F131" i="8" s="1"/>
  <c r="E25" i="8"/>
  <c r="F25" i="8" s="1"/>
  <c r="E96" i="8"/>
  <c r="F96" i="8" s="1"/>
  <c r="E198" i="8"/>
  <c r="F198" i="8" s="1"/>
  <c r="E102" i="8"/>
  <c r="F102" i="8" s="1"/>
  <c r="E152" i="8"/>
  <c r="F152" i="8" s="1"/>
  <c r="E225" i="8"/>
  <c r="F225" i="8" s="1"/>
  <c r="E121" i="8"/>
  <c r="F121" i="8" s="1"/>
  <c r="E107" i="8"/>
  <c r="F107" i="8" s="1"/>
  <c r="E21" i="8"/>
  <c r="F21" i="8" s="1"/>
  <c r="E215" i="8"/>
  <c r="F215" i="8" s="1"/>
  <c r="E175" i="8"/>
  <c r="F175" i="8" s="1"/>
  <c r="E199" i="8"/>
  <c r="F199" i="8" s="1"/>
  <c r="E166" i="8"/>
  <c r="F166" i="8" s="1"/>
  <c r="E16" i="8"/>
  <c r="F16" i="8" s="1"/>
  <c r="E147" i="8"/>
  <c r="F147" i="8" s="1"/>
  <c r="E46" i="8"/>
  <c r="F46" i="8" s="1"/>
  <c r="E153" i="8"/>
  <c r="F153" i="8" s="1"/>
  <c r="E70" i="8"/>
  <c r="F70" i="8" s="1"/>
  <c r="E66" i="8"/>
  <c r="F66" i="8" s="1"/>
  <c r="E210" i="8"/>
  <c r="F210" i="8" s="1"/>
  <c r="E148" i="8"/>
  <c r="F148" i="8" s="1"/>
  <c r="E112" i="8"/>
  <c r="F112" i="8" s="1"/>
  <c r="E197" i="8"/>
  <c r="F197" i="8" s="1"/>
  <c r="E132" i="8"/>
  <c r="F132" i="8" s="1"/>
  <c r="E227" i="8"/>
  <c r="F227" i="8" s="1"/>
  <c r="E201" i="8"/>
  <c r="F201" i="8" s="1"/>
  <c r="E149" i="8"/>
  <c r="F149" i="8" s="1"/>
  <c r="E164" i="8"/>
  <c r="F164" i="8" s="1"/>
  <c r="E143" i="8"/>
  <c r="F143" i="8" s="1"/>
  <c r="E236" i="8"/>
  <c r="F236" i="8" s="1"/>
  <c r="E213" i="8"/>
  <c r="F213" i="8" s="1"/>
  <c r="E17" i="8"/>
  <c r="F17" i="8" s="1"/>
  <c r="E4" i="8"/>
  <c r="F4" i="8" s="1"/>
  <c r="E87" i="8"/>
  <c r="F87" i="8" s="1"/>
  <c r="E178" i="8"/>
  <c r="F178" i="8" s="1"/>
  <c r="E5" i="8"/>
  <c r="F5" i="8" s="1"/>
  <c r="E200" i="8"/>
  <c r="F200" i="8" s="1"/>
  <c r="E189" i="8"/>
  <c r="F189" i="8" s="1"/>
  <c r="E137" i="8"/>
  <c r="F137" i="8" s="1"/>
  <c r="E60" i="8"/>
  <c r="F60" i="8" s="1"/>
  <c r="E119" i="8"/>
  <c r="F119" i="8" s="1"/>
  <c r="E204" i="8"/>
  <c r="F204" i="8" s="1"/>
  <c r="E221" i="8"/>
  <c r="F221" i="8" s="1"/>
  <c r="E207" i="8"/>
  <c r="F207" i="8" s="1"/>
  <c r="E27" i="8"/>
  <c r="F27" i="8" s="1"/>
  <c r="E130" i="8"/>
  <c r="F130" i="8" s="1"/>
  <c r="E194" i="8"/>
  <c r="F194" i="8" s="1"/>
  <c r="E208" i="8"/>
  <c r="F208" i="8" s="1"/>
  <c r="E35" i="8"/>
  <c r="F35" i="8" s="1"/>
  <c r="E40" i="8"/>
  <c r="F40" i="8" s="1"/>
  <c r="E50" i="8"/>
  <c r="F50" i="8" s="1"/>
  <c r="E103" i="8"/>
  <c r="F103" i="8" s="1"/>
  <c r="E191" i="8"/>
  <c r="F191" i="8" s="1"/>
  <c r="E13" i="8"/>
  <c r="F13" i="8" s="1"/>
  <c r="E8" i="8"/>
  <c r="F8" i="8" s="1"/>
  <c r="E202" i="8"/>
  <c r="F202" i="8" s="1"/>
  <c r="E230" i="8"/>
  <c r="F230" i="8" s="1"/>
  <c r="E125" i="8"/>
  <c r="F125" i="8" s="1"/>
  <c r="E14" i="8"/>
  <c r="F14" i="8" s="1"/>
  <c r="E85" i="8"/>
  <c r="F85" i="8" s="1"/>
  <c r="E97" i="8"/>
  <c r="F97" i="8" s="1"/>
  <c r="E26" i="8"/>
  <c r="F26" i="8" s="1"/>
  <c r="E165" i="8"/>
  <c r="F165" i="8" s="1"/>
  <c r="E157" i="8"/>
  <c r="F157" i="8" s="1"/>
  <c r="E219" i="8"/>
  <c r="F219" i="8" s="1"/>
  <c r="E138" i="8"/>
  <c r="F138" i="8" s="1"/>
  <c r="E45" i="8"/>
  <c r="F45" i="8" s="1"/>
  <c r="E100" i="8"/>
  <c r="F100" i="8" s="1"/>
  <c r="E209" i="8"/>
  <c r="F209" i="8" s="1"/>
  <c r="E214" i="8"/>
  <c r="F214" i="8" s="1"/>
  <c r="E52" i="8"/>
  <c r="F52" i="8" s="1"/>
  <c r="E59" i="8"/>
  <c r="F59" i="8" s="1"/>
  <c r="E64" i="8"/>
  <c r="F64" i="8" s="1"/>
  <c r="E146" i="8"/>
  <c r="F146" i="8" s="1"/>
  <c r="E223" i="8"/>
  <c r="F223" i="8" s="1"/>
  <c r="E114" i="8"/>
  <c r="F114" i="8" s="1"/>
  <c r="E139" i="8"/>
  <c r="F139" i="8" s="1"/>
  <c r="E106" i="8"/>
  <c r="F106" i="8" s="1"/>
  <c r="E173" i="8"/>
  <c r="F173" i="8" s="1"/>
  <c r="E7" i="8"/>
  <c r="F7" i="8" s="1"/>
  <c r="E105" i="8"/>
  <c r="F105" i="8" s="1"/>
  <c r="E176" i="8"/>
  <c r="F176" i="8" s="1"/>
  <c r="E78" i="8"/>
  <c r="F78" i="8" s="1"/>
  <c r="E55" i="8"/>
  <c r="F55" i="8" s="1"/>
  <c r="E203" i="8"/>
  <c r="F203" i="8" s="1"/>
  <c r="E237" i="8"/>
  <c r="F237" i="8" s="1"/>
  <c r="E30" i="8"/>
  <c r="F30" i="8" s="1"/>
  <c r="E169" i="8"/>
  <c r="F169" i="8" s="1"/>
  <c r="E163" i="8"/>
  <c r="F163" i="8" s="1"/>
  <c r="E117" i="8"/>
  <c r="F117" i="8" s="1"/>
  <c r="E222" i="8"/>
  <c r="F222" i="8" s="1"/>
  <c r="E127" i="8"/>
  <c r="F127" i="8" s="1"/>
  <c r="E172" i="8"/>
  <c r="F172" i="8" s="1"/>
  <c r="E158" i="8"/>
  <c r="F158" i="8" s="1"/>
  <c r="E29" i="8"/>
  <c r="F29" i="8" s="1"/>
  <c r="E43" i="8"/>
  <c r="F43" i="8" s="1"/>
  <c r="E217" i="8"/>
  <c r="F217" i="8" s="1"/>
  <c r="E162" i="8"/>
  <c r="F162" i="8" s="1"/>
  <c r="E65" i="8"/>
  <c r="F65" i="8" s="1"/>
  <c r="E24" i="8"/>
  <c r="F24" i="8" s="1"/>
  <c r="E69" i="8"/>
  <c r="F69" i="8" s="1"/>
  <c r="E82" i="8"/>
  <c r="F82" i="8" s="1"/>
  <c r="E48" i="8"/>
  <c r="F48" i="8" s="1"/>
  <c r="E94" i="8"/>
  <c r="F94" i="8" s="1"/>
  <c r="E195" i="8"/>
  <c r="F195" i="8" s="1"/>
  <c r="E170" i="8"/>
  <c r="F170" i="8" s="1"/>
  <c r="E177" i="8"/>
  <c r="F177" i="8" s="1"/>
  <c r="E182" i="8"/>
  <c r="F182" i="8" s="1"/>
  <c r="E73" i="8"/>
  <c r="F73" i="8" s="1"/>
  <c r="E235" i="8"/>
  <c r="F235" i="8" s="1"/>
  <c r="E229" i="8"/>
  <c r="F229" i="8" s="1"/>
  <c r="E181" i="8"/>
  <c r="F181" i="8" s="1"/>
  <c r="E188" i="8"/>
  <c r="F188" i="8" s="1"/>
  <c r="E2" i="8"/>
  <c r="F2" i="8" s="1"/>
  <c r="E110" i="8"/>
  <c r="F110" i="8" s="1"/>
  <c r="E218" i="8"/>
  <c r="F218" i="8" s="1"/>
  <c r="E81" i="8"/>
  <c r="F81" i="8" s="1"/>
  <c r="E124" i="8"/>
  <c r="F124" i="8" s="1"/>
  <c r="E128" i="8"/>
  <c r="F128" i="8" s="1"/>
  <c r="E89" i="8"/>
  <c r="F89" i="8" s="1"/>
  <c r="E228" i="8"/>
  <c r="F228" i="8" s="1"/>
  <c r="E133" i="8"/>
  <c r="F133" i="8" s="1"/>
  <c r="E61" i="8"/>
  <c r="F61" i="8" s="1"/>
  <c r="E31" i="8"/>
  <c r="F31" i="8" s="1"/>
  <c r="E99" i="8"/>
  <c r="F99" i="8" s="1"/>
  <c r="E20" i="8"/>
  <c r="F20" i="8" s="1"/>
  <c r="E101" i="8"/>
  <c r="F101" i="8" s="1"/>
  <c r="E36" i="8"/>
  <c r="F36" i="8" s="1"/>
  <c r="E74" i="8"/>
  <c r="F74" i="8" s="1"/>
  <c r="E72" i="8"/>
  <c r="F72" i="8" s="1"/>
  <c r="E233" i="8"/>
  <c r="F233" i="8" s="1"/>
  <c r="E88" i="8"/>
  <c r="F88" i="8" s="1"/>
  <c r="E104" i="8"/>
  <c r="F104" i="8" s="1"/>
  <c r="E120" i="8"/>
  <c r="F120" i="8" s="1"/>
  <c r="E15" i="8"/>
  <c r="F15" i="8" s="1"/>
  <c r="E56" i="8"/>
  <c r="F56" i="8" s="1"/>
  <c r="E151" i="8"/>
  <c r="F151" i="8" s="1"/>
  <c r="E109" i="8"/>
  <c r="F109" i="8" s="1"/>
  <c r="E113" i="15"/>
  <c r="F113" i="15" s="1"/>
  <c r="E30" i="4"/>
  <c r="F30" i="4" s="1"/>
  <c r="E47" i="15"/>
  <c r="F47" i="15" s="1"/>
  <c r="E128" i="4"/>
  <c r="F128" i="4" s="1"/>
  <c r="E97" i="4"/>
  <c r="F97" i="4" s="1"/>
  <c r="E207" i="4"/>
  <c r="F207" i="4" s="1"/>
  <c r="E116" i="4"/>
  <c r="F116" i="4" s="1"/>
  <c r="E236" i="11"/>
  <c r="F236" i="11" s="1"/>
  <c r="E235" i="4"/>
  <c r="F235" i="4" s="1"/>
  <c r="E188" i="4"/>
  <c r="F188" i="4" s="1"/>
  <c r="E179" i="15"/>
  <c r="F179" i="15" s="1"/>
  <c r="E206" i="4"/>
  <c r="F206" i="4" s="1"/>
  <c r="E139" i="15"/>
  <c r="F139" i="15" s="1"/>
  <c r="E113" i="4"/>
  <c r="F113" i="4" s="1"/>
  <c r="E44" i="15"/>
  <c r="F44" i="15" s="1"/>
  <c r="E130" i="4"/>
  <c r="F130" i="4" s="1"/>
  <c r="E17" i="11"/>
  <c r="F17" i="11" s="1"/>
  <c r="E109" i="12"/>
  <c r="F109" i="12" s="1"/>
  <c r="E207" i="11"/>
  <c r="F207" i="11" s="1"/>
  <c r="E134" i="12"/>
  <c r="F134" i="12" s="1"/>
  <c r="E200" i="6"/>
  <c r="F200" i="6" s="1"/>
  <c r="E153" i="4"/>
  <c r="F153" i="4" s="1"/>
  <c r="E49" i="11"/>
  <c r="F49" i="11" s="1"/>
  <c r="E129" i="4"/>
  <c r="F129" i="4" s="1"/>
  <c r="E182" i="10"/>
  <c r="F182" i="10" s="1"/>
  <c r="E148" i="6"/>
  <c r="F148" i="6" s="1"/>
  <c r="E118" i="4"/>
  <c r="F118" i="4" s="1"/>
  <c r="E62" i="10"/>
  <c r="F62" i="10" s="1"/>
  <c r="E40" i="4"/>
  <c r="F40" i="4" s="1"/>
  <c r="E232" i="4"/>
  <c r="F232" i="4" s="1"/>
  <c r="E11" i="4"/>
  <c r="F11" i="4" s="1"/>
  <c r="E67" i="9"/>
  <c r="F67" i="9" s="1"/>
  <c r="E159" i="12"/>
  <c r="F159" i="12" s="1"/>
  <c r="E137" i="11"/>
  <c r="F137" i="11" s="1"/>
  <c r="E37" i="11"/>
  <c r="F37" i="11" s="1"/>
  <c r="E236" i="15"/>
  <c r="F236" i="15" s="1"/>
  <c r="E212" i="10"/>
  <c r="F212" i="10" s="1"/>
  <c r="E102" i="11"/>
  <c r="F102" i="11" s="1"/>
  <c r="E68" i="4"/>
  <c r="F68" i="4" s="1"/>
  <c r="E127" i="4"/>
  <c r="F127" i="4" s="1"/>
  <c r="E85" i="11"/>
  <c r="F85" i="11" s="1"/>
  <c r="E122" i="11"/>
  <c r="F122" i="11" s="1"/>
  <c r="E54" i="11"/>
  <c r="F54" i="11" s="1"/>
  <c r="E220" i="15"/>
  <c r="F220" i="15" s="1"/>
  <c r="E94" i="15"/>
  <c r="F94" i="15" s="1"/>
  <c r="E106" i="10"/>
  <c r="F106" i="10" s="1"/>
  <c r="E216" i="4"/>
  <c r="F216" i="4" s="1"/>
  <c r="E64" i="4"/>
  <c r="F64" i="4" s="1"/>
  <c r="E189" i="4"/>
  <c r="F189" i="4" s="1"/>
  <c r="E181" i="15"/>
  <c r="F181" i="15" s="1"/>
  <c r="E171" i="15"/>
  <c r="F171" i="15" s="1"/>
  <c r="E214" i="10"/>
  <c r="F214" i="10" s="1"/>
  <c r="E116" i="11"/>
  <c r="F116" i="11" s="1"/>
  <c r="E32" i="11"/>
  <c r="F32" i="11" s="1"/>
  <c r="E193" i="15"/>
  <c r="F193" i="15" s="1"/>
  <c r="E72" i="15"/>
  <c r="F72" i="15" s="1"/>
  <c r="E7" i="12"/>
  <c r="F7" i="12" s="1"/>
  <c r="E2" i="11"/>
  <c r="F2" i="11" s="1"/>
  <c r="E4" i="4"/>
  <c r="F4" i="4" s="1"/>
  <c r="E27" i="4"/>
  <c r="F27" i="4" s="1"/>
  <c r="E135" i="4"/>
  <c r="F135" i="4" s="1"/>
  <c r="E132" i="11"/>
  <c r="F132" i="11" s="1"/>
  <c r="E64" i="11"/>
  <c r="F64" i="11" s="1"/>
  <c r="E203" i="11"/>
  <c r="F203" i="11" s="1"/>
  <c r="E141" i="11"/>
  <c r="F141" i="11" s="1"/>
  <c r="E182" i="11"/>
  <c r="F182" i="11" s="1"/>
  <c r="E152" i="11"/>
  <c r="F152" i="11" s="1"/>
  <c r="E195" i="11"/>
  <c r="F195" i="11" s="1"/>
  <c r="E177" i="15"/>
  <c r="F177" i="15" s="1"/>
  <c r="E10" i="15"/>
  <c r="F10" i="15" s="1"/>
  <c r="E127" i="10"/>
  <c r="F127" i="10" s="1"/>
  <c r="E229" i="6"/>
  <c r="F229" i="6" s="1"/>
  <c r="E80" i="4"/>
  <c r="F80" i="4" s="1"/>
  <c r="E176" i="4"/>
  <c r="F176" i="4" s="1"/>
  <c r="E65" i="4"/>
  <c r="F65" i="4" s="1"/>
  <c r="E99" i="12"/>
  <c r="F99" i="12" s="1"/>
  <c r="E205" i="11"/>
  <c r="F205" i="11" s="1"/>
  <c r="E184" i="11"/>
  <c r="F184" i="11" s="1"/>
  <c r="E204" i="15"/>
  <c r="F204" i="15" s="1"/>
  <c r="E90" i="15"/>
  <c r="F90" i="15" s="1"/>
  <c r="E20" i="15"/>
  <c r="F20" i="15" s="1"/>
  <c r="E77" i="9"/>
  <c r="F77" i="9" s="1"/>
  <c r="E44" i="11"/>
  <c r="F44" i="11" s="1"/>
  <c r="E219" i="11"/>
  <c r="F219" i="11" s="1"/>
  <c r="E71" i="11"/>
  <c r="F71" i="11" s="1"/>
  <c r="E169" i="11"/>
  <c r="F169" i="11" s="1"/>
  <c r="E132" i="15"/>
  <c r="F132" i="15" s="1"/>
  <c r="E124" i="10"/>
  <c r="F124" i="10" s="1"/>
  <c r="E95" i="15"/>
  <c r="F95" i="15" s="1"/>
  <c r="E129" i="6"/>
  <c r="F129" i="6" s="1"/>
  <c r="E192" i="12"/>
  <c r="F192" i="12" s="1"/>
  <c r="E55" i="10"/>
  <c r="F55" i="10" s="1"/>
  <c r="E11" i="11"/>
  <c r="F11" i="11" s="1"/>
  <c r="E17" i="4"/>
  <c r="F17" i="4" s="1"/>
  <c r="E225" i="4"/>
  <c r="F225" i="4" s="1"/>
  <c r="E72" i="4"/>
  <c r="F72" i="4" s="1"/>
  <c r="E59" i="4"/>
  <c r="F59" i="4" s="1"/>
  <c r="E52" i="11"/>
  <c r="F52" i="11" s="1"/>
  <c r="E221" i="11"/>
  <c r="F221" i="11" s="1"/>
  <c r="E143" i="11"/>
  <c r="F143" i="11" s="1"/>
  <c r="E185" i="11"/>
  <c r="F185" i="11" s="1"/>
  <c r="E233" i="15"/>
  <c r="F233" i="15" s="1"/>
  <c r="E228" i="15"/>
  <c r="F228" i="15" s="1"/>
  <c r="E62" i="15"/>
  <c r="F62" i="15" s="1"/>
  <c r="E112" i="6"/>
  <c r="F112" i="6" s="1"/>
  <c r="E223" i="12"/>
  <c r="F223" i="12" s="1"/>
  <c r="E172" i="11"/>
  <c r="F172" i="11" s="1"/>
  <c r="E101" i="11"/>
  <c r="F101" i="11" s="1"/>
  <c r="E118" i="11"/>
  <c r="F118" i="11" s="1"/>
  <c r="E23" i="11"/>
  <c r="F23" i="11" s="1"/>
  <c r="E72" i="11"/>
  <c r="F72" i="11" s="1"/>
  <c r="E89" i="11"/>
  <c r="F89" i="11" s="1"/>
  <c r="E168" i="15"/>
  <c r="F168" i="15" s="1"/>
  <c r="E106" i="11"/>
  <c r="F106" i="11" s="1"/>
  <c r="E178" i="15"/>
  <c r="F178" i="15" s="1"/>
  <c r="E137" i="15"/>
  <c r="F137" i="15" s="1"/>
  <c r="E16" i="10"/>
  <c r="F16" i="10" s="1"/>
  <c r="E194" i="10"/>
  <c r="F194" i="10" s="1"/>
  <c r="E115" i="10"/>
  <c r="F115" i="10" s="1"/>
  <c r="E102" i="6"/>
  <c r="F102" i="6" s="1"/>
  <c r="E208" i="4"/>
  <c r="F208" i="4" s="1"/>
  <c r="E89" i="4"/>
  <c r="F89" i="4" s="1"/>
  <c r="E96" i="4"/>
  <c r="F96" i="4" s="1"/>
  <c r="E180" i="4"/>
  <c r="F180" i="4" s="1"/>
  <c r="E41" i="4"/>
  <c r="F41" i="4" s="1"/>
  <c r="E12" i="11"/>
  <c r="F12" i="11" s="1"/>
  <c r="E180" i="11"/>
  <c r="F180" i="11" s="1"/>
  <c r="E149" i="11"/>
  <c r="F149" i="11" s="1"/>
  <c r="E134" i="11"/>
  <c r="F134" i="11" s="1"/>
  <c r="E63" i="11"/>
  <c r="F63" i="11" s="1"/>
  <c r="E136" i="11"/>
  <c r="F136" i="11" s="1"/>
  <c r="E105" i="11"/>
  <c r="F105" i="11" s="1"/>
  <c r="E67" i="11"/>
  <c r="F67" i="11" s="1"/>
  <c r="E238" i="15"/>
  <c r="F238" i="15" s="1"/>
  <c r="E50" i="11"/>
  <c r="F50" i="11" s="1"/>
  <c r="E127" i="15"/>
  <c r="F127" i="15" s="1"/>
  <c r="E63" i="15"/>
  <c r="F63" i="15" s="1"/>
  <c r="E73" i="15"/>
  <c r="F73" i="15" s="1"/>
  <c r="E160" i="10"/>
  <c r="F160" i="10" s="1"/>
  <c r="E238" i="6"/>
  <c r="F238" i="6" s="1"/>
  <c r="E158" i="15"/>
  <c r="F158" i="15" s="1"/>
  <c r="E48" i="4"/>
  <c r="F48" i="4" s="1"/>
  <c r="E96" i="5"/>
  <c r="F96" i="5" s="1"/>
  <c r="E91" i="12"/>
  <c r="F91" i="12" s="1"/>
  <c r="E76" i="11"/>
  <c r="F76" i="11" s="1"/>
  <c r="E225" i="11"/>
  <c r="F225" i="11" s="1"/>
  <c r="E14" i="11"/>
  <c r="F14" i="11" s="1"/>
  <c r="E87" i="11"/>
  <c r="F87" i="11" s="1"/>
  <c r="E186" i="12"/>
  <c r="F186" i="12" s="1"/>
  <c r="E115" i="12"/>
  <c r="F115" i="12" s="1"/>
  <c r="E164" i="15"/>
  <c r="F164" i="15" s="1"/>
  <c r="E187" i="15"/>
  <c r="F187" i="15" s="1"/>
  <c r="E162" i="15"/>
  <c r="F162" i="15" s="1"/>
  <c r="E82" i="15"/>
  <c r="F82" i="15" s="1"/>
  <c r="E162" i="10"/>
  <c r="F162" i="10" s="1"/>
  <c r="E100" i="15"/>
  <c r="F100" i="15" s="1"/>
  <c r="E100" i="4"/>
  <c r="F100" i="4" s="1"/>
  <c r="E111" i="4"/>
  <c r="F111" i="4" s="1"/>
  <c r="E221" i="4"/>
  <c r="F221" i="4" s="1"/>
  <c r="E190" i="4"/>
  <c r="F190" i="4" s="1"/>
  <c r="E145" i="4"/>
  <c r="F145" i="4" s="1"/>
  <c r="E100" i="11"/>
  <c r="F100" i="11" s="1"/>
  <c r="E216" i="11"/>
  <c r="F216" i="11" s="1"/>
  <c r="E46" i="11"/>
  <c r="F46" i="11" s="1"/>
  <c r="E167" i="11"/>
  <c r="F167" i="11" s="1"/>
  <c r="E8" i="11"/>
  <c r="F8" i="11" s="1"/>
  <c r="E218" i="11"/>
  <c r="F218" i="11" s="1"/>
  <c r="E227" i="15"/>
  <c r="F227" i="15" s="1"/>
  <c r="E196" i="15"/>
  <c r="F196" i="15" s="1"/>
  <c r="E149" i="15"/>
  <c r="F149" i="15" s="1"/>
  <c r="E124" i="15"/>
  <c r="F124" i="15" s="1"/>
  <c r="E103" i="15"/>
  <c r="F103" i="15" s="1"/>
  <c r="E23" i="10"/>
  <c r="F23" i="10" s="1"/>
  <c r="E105" i="10"/>
  <c r="F105" i="10" s="1"/>
  <c r="E208" i="6"/>
  <c r="F208" i="6" s="1"/>
  <c r="E29" i="4"/>
  <c r="F29" i="4" s="1"/>
  <c r="E200" i="4"/>
  <c r="F200" i="4" s="1"/>
  <c r="E7" i="4"/>
  <c r="F7" i="4" s="1"/>
  <c r="E60" i="4"/>
  <c r="F60" i="4" s="1"/>
  <c r="E90" i="4"/>
  <c r="F90" i="4" s="1"/>
  <c r="E86" i="4"/>
  <c r="F86" i="4" s="1"/>
  <c r="E165" i="11"/>
  <c r="F165" i="11" s="1"/>
  <c r="E125" i="11"/>
  <c r="F125" i="11" s="1"/>
  <c r="E78" i="11"/>
  <c r="F78" i="11" s="1"/>
  <c r="E119" i="11"/>
  <c r="F119" i="11" s="1"/>
  <c r="E111" i="11"/>
  <c r="F111" i="11" s="1"/>
  <c r="E96" i="11"/>
  <c r="F96" i="11" s="1"/>
  <c r="E41" i="11"/>
  <c r="F41" i="11" s="1"/>
  <c r="E194" i="11"/>
  <c r="F194" i="11" s="1"/>
  <c r="E234" i="15"/>
  <c r="F234" i="15" s="1"/>
  <c r="E43" i="11"/>
  <c r="F43" i="11" s="1"/>
  <c r="E217" i="15"/>
  <c r="F217" i="15" s="1"/>
  <c r="E159" i="15"/>
  <c r="F159" i="15" s="1"/>
  <c r="E109" i="15"/>
  <c r="F109" i="15" s="1"/>
  <c r="E154" i="5"/>
  <c r="F154" i="5" s="1"/>
  <c r="E69" i="15"/>
  <c r="F69" i="15" s="1"/>
  <c r="E85" i="15"/>
  <c r="F85" i="15" s="1"/>
  <c r="E205" i="10"/>
  <c r="F205" i="10" s="1"/>
  <c r="E142" i="10"/>
  <c r="F142" i="10" s="1"/>
  <c r="E36" i="10"/>
  <c r="F36" i="10" s="1"/>
  <c r="E34" i="6"/>
  <c r="F34" i="6" s="1"/>
  <c r="E63" i="10"/>
  <c r="F63" i="10" s="1"/>
  <c r="E66" i="6"/>
  <c r="F66" i="6" s="1"/>
  <c r="E199" i="12"/>
  <c r="F199" i="12" s="1"/>
  <c r="E53" i="10"/>
  <c r="F53" i="10" s="1"/>
  <c r="E171" i="11"/>
  <c r="F171" i="11" s="1"/>
  <c r="E2" i="15"/>
  <c r="F2" i="15" s="1"/>
  <c r="E53" i="4"/>
  <c r="F53" i="4" s="1"/>
  <c r="E74" i="4"/>
  <c r="F74" i="4" s="1"/>
  <c r="E19" i="4"/>
  <c r="F19" i="4" s="1"/>
  <c r="E170" i="4"/>
  <c r="F170" i="4" s="1"/>
  <c r="E224" i="4"/>
  <c r="F224" i="4" s="1"/>
  <c r="E143" i="4"/>
  <c r="F143" i="4" s="1"/>
  <c r="E4" i="11"/>
  <c r="F4" i="11" s="1"/>
  <c r="E164" i="11"/>
  <c r="F164" i="11" s="1"/>
  <c r="E29" i="11"/>
  <c r="F29" i="11" s="1"/>
  <c r="E220" i="11"/>
  <c r="F220" i="11" s="1"/>
  <c r="E174" i="11"/>
  <c r="F174" i="11" s="1"/>
  <c r="E7" i="11"/>
  <c r="F7" i="11" s="1"/>
  <c r="E24" i="11"/>
  <c r="F24" i="11" s="1"/>
  <c r="E200" i="11"/>
  <c r="F200" i="11" s="1"/>
  <c r="E198" i="15"/>
  <c r="F198" i="15" s="1"/>
  <c r="E166" i="15"/>
  <c r="F166" i="15" s="1"/>
  <c r="E180" i="15"/>
  <c r="F180" i="15" s="1"/>
  <c r="E4" i="15"/>
  <c r="F4" i="15" s="1"/>
  <c r="E208" i="10"/>
  <c r="F208" i="10" s="1"/>
  <c r="E230" i="5"/>
  <c r="F230" i="5" s="1"/>
  <c r="E18" i="15"/>
  <c r="F18" i="15" s="1"/>
  <c r="E213" i="15"/>
  <c r="F213" i="15" s="1"/>
  <c r="E128" i="6"/>
  <c r="F128" i="6" s="1"/>
  <c r="E17" i="10"/>
  <c r="F17" i="10" s="1"/>
  <c r="E54" i="4"/>
  <c r="F54" i="4" s="1"/>
  <c r="E214" i="4"/>
  <c r="F214" i="4" s="1"/>
  <c r="E178" i="4"/>
  <c r="F178" i="4" s="1"/>
  <c r="E5" i="4"/>
  <c r="F5" i="4" s="1"/>
  <c r="E14" i="4"/>
  <c r="F14" i="4" s="1"/>
  <c r="E230" i="4"/>
  <c r="F230" i="4" s="1"/>
  <c r="E20" i="4"/>
  <c r="F20" i="4" s="1"/>
  <c r="E186" i="4"/>
  <c r="F186" i="4" s="1"/>
  <c r="E196" i="4"/>
  <c r="F196" i="4" s="1"/>
  <c r="E192" i="11"/>
  <c r="F192" i="11" s="1"/>
  <c r="E81" i="11"/>
  <c r="F81" i="11" s="1"/>
  <c r="E66" i="11"/>
  <c r="F66" i="11" s="1"/>
  <c r="E173" i="12"/>
  <c r="F173" i="12" s="1"/>
  <c r="E218" i="15"/>
  <c r="F218" i="15" s="1"/>
  <c r="E209" i="15"/>
  <c r="F209" i="15" s="1"/>
  <c r="E208" i="15"/>
  <c r="F208" i="15" s="1"/>
  <c r="E146" i="15"/>
  <c r="F146" i="15" s="1"/>
  <c r="E23" i="15"/>
  <c r="F23" i="15" s="1"/>
  <c r="E141" i="15"/>
  <c r="F141" i="15" s="1"/>
  <c r="E55" i="15"/>
  <c r="F55" i="15" s="1"/>
  <c r="E190" i="9"/>
  <c r="F190" i="9" s="1"/>
  <c r="E141" i="10"/>
  <c r="F141" i="10" s="1"/>
  <c r="E225" i="6"/>
  <c r="F225" i="6" s="1"/>
  <c r="E156" i="6"/>
  <c r="F156" i="6" s="1"/>
  <c r="E77" i="10"/>
  <c r="F77" i="10" s="1"/>
  <c r="E238" i="9"/>
  <c r="F238" i="9" s="1"/>
  <c r="E57" i="15"/>
  <c r="F57" i="15" s="1"/>
  <c r="E68" i="15"/>
  <c r="F68" i="15" s="1"/>
  <c r="E99" i="10"/>
  <c r="F99" i="10" s="1"/>
  <c r="E118" i="6"/>
  <c r="F118" i="6" s="1"/>
  <c r="E153" i="6"/>
  <c r="F153" i="6" s="1"/>
  <c r="E138" i="6"/>
  <c r="F138" i="6" s="1"/>
  <c r="E197" i="10"/>
  <c r="F197" i="10" s="1"/>
  <c r="E146" i="11"/>
  <c r="F146" i="11" s="1"/>
  <c r="E128" i="15"/>
  <c r="F128" i="15" s="1"/>
  <c r="E34" i="4"/>
  <c r="F34" i="4" s="1"/>
  <c r="E46" i="4"/>
  <c r="F46" i="4" s="1"/>
  <c r="E12" i="4"/>
  <c r="F12" i="4" s="1"/>
  <c r="E125" i="4"/>
  <c r="F125" i="4" s="1"/>
  <c r="E236" i="4"/>
  <c r="F236" i="4" s="1"/>
  <c r="E156" i="4"/>
  <c r="F156" i="4" s="1"/>
  <c r="E181" i="4"/>
  <c r="F181" i="4" s="1"/>
  <c r="E49" i="4"/>
  <c r="F49" i="4" s="1"/>
  <c r="E166" i="12"/>
  <c r="F166" i="12" s="1"/>
  <c r="E26" i="12"/>
  <c r="F26" i="12" s="1"/>
  <c r="E53" i="11"/>
  <c r="F53" i="11" s="1"/>
  <c r="E6" i="11"/>
  <c r="F6" i="11" s="1"/>
  <c r="E166" i="11"/>
  <c r="F166" i="11" s="1"/>
  <c r="E224" i="11"/>
  <c r="F224" i="11" s="1"/>
  <c r="E199" i="11"/>
  <c r="F199" i="11" s="1"/>
  <c r="E120" i="11"/>
  <c r="F120" i="11" s="1"/>
  <c r="E238" i="11"/>
  <c r="F238" i="11" s="1"/>
  <c r="E145" i="11"/>
  <c r="F145" i="11" s="1"/>
  <c r="E195" i="15"/>
  <c r="F195" i="15" s="1"/>
  <c r="E226" i="15"/>
  <c r="F226" i="15" s="1"/>
  <c r="E138" i="11"/>
  <c r="F138" i="11" s="1"/>
  <c r="E217" i="11"/>
  <c r="F217" i="11" s="1"/>
  <c r="E114" i="11"/>
  <c r="F114" i="11" s="1"/>
  <c r="E90" i="11"/>
  <c r="F90" i="11" s="1"/>
  <c r="E134" i="15"/>
  <c r="F134" i="15" s="1"/>
  <c r="E106" i="15"/>
  <c r="F106" i="15" s="1"/>
  <c r="E9" i="15"/>
  <c r="F9" i="15" s="1"/>
  <c r="E81" i="10"/>
  <c r="F81" i="10" s="1"/>
  <c r="E25" i="15"/>
  <c r="F25" i="15" s="1"/>
  <c r="E92" i="15"/>
  <c r="F92" i="15" s="1"/>
  <c r="E202" i="10"/>
  <c r="F202" i="10" s="1"/>
  <c r="E32" i="15"/>
  <c r="F32" i="15" s="1"/>
  <c r="E95" i="6"/>
  <c r="F95" i="6" s="1"/>
  <c r="E91" i="9"/>
  <c r="F91" i="9" s="1"/>
  <c r="E10" i="6"/>
  <c r="F10" i="6" s="1"/>
  <c r="E10" i="4"/>
  <c r="F10" i="4" s="1"/>
  <c r="E43" i="5"/>
  <c r="F43" i="5" s="1"/>
  <c r="E149" i="4"/>
  <c r="F149" i="4" s="1"/>
  <c r="E166" i="4"/>
  <c r="F166" i="4" s="1"/>
  <c r="E57" i="4"/>
  <c r="F57" i="4" s="1"/>
  <c r="E37" i="4"/>
  <c r="F37" i="4" s="1"/>
  <c r="E55" i="4"/>
  <c r="F55" i="4" s="1"/>
  <c r="E198" i="4"/>
  <c r="F198" i="4" s="1"/>
  <c r="E94" i="4"/>
  <c r="F94" i="4" s="1"/>
  <c r="E13" i="4"/>
  <c r="F13" i="4" s="1"/>
  <c r="E36" i="4"/>
  <c r="F36" i="4" s="1"/>
  <c r="E164" i="4"/>
  <c r="F164" i="4" s="1"/>
  <c r="E91" i="4"/>
  <c r="F91" i="4" s="1"/>
  <c r="E234" i="4"/>
  <c r="F234" i="4" s="1"/>
  <c r="E226" i="12"/>
  <c r="F226" i="12" s="1"/>
  <c r="E84" i="11"/>
  <c r="F84" i="11" s="1"/>
  <c r="E204" i="11"/>
  <c r="F204" i="11" s="1"/>
  <c r="E5" i="11"/>
  <c r="F5" i="11" s="1"/>
  <c r="E133" i="11"/>
  <c r="F133" i="11" s="1"/>
  <c r="E38" i="11"/>
  <c r="F38" i="11" s="1"/>
  <c r="E142" i="11"/>
  <c r="F142" i="11" s="1"/>
  <c r="E151" i="11"/>
  <c r="F151" i="11" s="1"/>
  <c r="E47" i="11"/>
  <c r="F47" i="11" s="1"/>
  <c r="E214" i="11"/>
  <c r="F214" i="11" s="1"/>
  <c r="E104" i="11"/>
  <c r="F104" i="11" s="1"/>
  <c r="E57" i="11"/>
  <c r="F57" i="11" s="1"/>
  <c r="E177" i="11"/>
  <c r="F177" i="11" s="1"/>
  <c r="E205" i="15"/>
  <c r="F205" i="15" s="1"/>
  <c r="E99" i="11"/>
  <c r="F99" i="11" s="1"/>
  <c r="E182" i="15"/>
  <c r="F182" i="15" s="1"/>
  <c r="E152" i="15"/>
  <c r="F152" i="15" s="1"/>
  <c r="E192" i="15"/>
  <c r="F192" i="15" s="1"/>
  <c r="E215" i="15"/>
  <c r="F215" i="15" s="1"/>
  <c r="E125" i="10"/>
  <c r="F125" i="10" s="1"/>
  <c r="E201" i="15"/>
  <c r="F201" i="15" s="1"/>
  <c r="E35" i="15"/>
  <c r="F35" i="15" s="1"/>
  <c r="E151" i="15"/>
  <c r="F151" i="15" s="1"/>
  <c r="E66" i="15"/>
  <c r="F66" i="15" s="1"/>
  <c r="E43" i="10"/>
  <c r="F43" i="10" s="1"/>
  <c r="E6" i="9"/>
  <c r="F6" i="9" s="1"/>
  <c r="E46" i="15"/>
  <c r="F46" i="15" s="1"/>
  <c r="E75" i="10"/>
  <c r="F75" i="10" s="1"/>
  <c r="E131" i="10"/>
  <c r="F131" i="10" s="1"/>
  <c r="E140" i="6"/>
  <c r="F140" i="6" s="1"/>
  <c r="E186" i="6"/>
  <c r="F186" i="6" s="1"/>
  <c r="E143" i="6"/>
  <c r="F143" i="6" s="1"/>
  <c r="E69" i="6"/>
  <c r="F69" i="6" s="1"/>
  <c r="E87" i="10"/>
  <c r="F87" i="10" s="1"/>
  <c r="E113" i="6"/>
  <c r="F113" i="6" s="1"/>
  <c r="E63" i="12"/>
  <c r="F63" i="12" s="1"/>
  <c r="E59" i="11"/>
  <c r="F59" i="11" s="1"/>
  <c r="E47" i="4"/>
  <c r="F47" i="4" s="1"/>
  <c r="E82" i="4"/>
  <c r="F82" i="4" s="1"/>
  <c r="E73" i="4"/>
  <c r="F73" i="4" s="1"/>
  <c r="E205" i="4"/>
  <c r="F205" i="4" s="1"/>
  <c r="E32" i="4"/>
  <c r="F32" i="4" s="1"/>
  <c r="E71" i="4"/>
  <c r="F71" i="4" s="1"/>
  <c r="E172" i="4"/>
  <c r="F172" i="4" s="1"/>
  <c r="E174" i="4"/>
  <c r="F174" i="4" s="1"/>
  <c r="E141" i="4"/>
  <c r="F141" i="4" s="1"/>
  <c r="E88" i="4"/>
  <c r="F88" i="4" s="1"/>
  <c r="E191" i="4"/>
  <c r="F191" i="4" s="1"/>
  <c r="E228" i="4"/>
  <c r="F228" i="4" s="1"/>
  <c r="E103" i="12"/>
  <c r="F103" i="12" s="1"/>
  <c r="E36" i="11"/>
  <c r="F36" i="11" s="1"/>
  <c r="E140" i="11"/>
  <c r="F140" i="11" s="1"/>
  <c r="E197" i="11"/>
  <c r="F197" i="11" s="1"/>
  <c r="E69" i="11"/>
  <c r="F69" i="11" s="1"/>
  <c r="E211" i="11"/>
  <c r="F211" i="11" s="1"/>
  <c r="E86" i="11"/>
  <c r="F86" i="11" s="1"/>
  <c r="E206" i="11"/>
  <c r="F206" i="11" s="1"/>
  <c r="E233" i="11"/>
  <c r="F233" i="11" s="1"/>
  <c r="E127" i="11"/>
  <c r="F127" i="11" s="1"/>
  <c r="E56" i="11"/>
  <c r="F56" i="11" s="1"/>
  <c r="E160" i="11"/>
  <c r="F160" i="11" s="1"/>
  <c r="E9" i="11"/>
  <c r="F9" i="11" s="1"/>
  <c r="E121" i="11"/>
  <c r="F121" i="11" s="1"/>
  <c r="E130" i="11"/>
  <c r="F130" i="11" s="1"/>
  <c r="E184" i="15"/>
  <c r="F184" i="15" s="1"/>
  <c r="E211" i="15"/>
  <c r="F211" i="15" s="1"/>
  <c r="E212" i="11"/>
  <c r="F212" i="11" s="1"/>
  <c r="E203" i="15"/>
  <c r="F203" i="15" s="1"/>
  <c r="E232" i="15"/>
  <c r="F232" i="15" s="1"/>
  <c r="E51" i="11"/>
  <c r="F51" i="11" s="1"/>
  <c r="E174" i="15"/>
  <c r="F174" i="15" s="1"/>
  <c r="E176" i="15"/>
  <c r="F176" i="15" s="1"/>
  <c r="E49" i="15"/>
  <c r="F49" i="15" s="1"/>
  <c r="E61" i="15"/>
  <c r="F61" i="15" s="1"/>
  <c r="E197" i="15"/>
  <c r="F197" i="15" s="1"/>
  <c r="E229" i="15"/>
  <c r="F229" i="15" s="1"/>
  <c r="E64" i="15"/>
  <c r="F64" i="15" s="1"/>
  <c r="E185" i="15"/>
  <c r="F185" i="15" s="1"/>
  <c r="E88" i="15"/>
  <c r="F88" i="15" s="1"/>
  <c r="E103" i="10"/>
  <c r="F103" i="10" s="1"/>
  <c r="E227" i="6"/>
  <c r="F227" i="6" s="1"/>
  <c r="E215" i="6"/>
  <c r="F215" i="6" s="1"/>
  <c r="E233" i="6"/>
  <c r="F233" i="6" s="1"/>
  <c r="E179" i="10"/>
  <c r="F179" i="10" s="1"/>
  <c r="E117" i="6"/>
  <c r="F117" i="6" s="1"/>
  <c r="E84" i="6"/>
  <c r="F84" i="6" s="1"/>
  <c r="E163" i="4"/>
  <c r="F163" i="4" s="1"/>
  <c r="E215" i="4"/>
  <c r="F215" i="4" s="1"/>
  <c r="E83" i="4"/>
  <c r="F83" i="4" s="1"/>
  <c r="E194" i="4"/>
  <c r="F194" i="4" s="1"/>
  <c r="E69" i="4"/>
  <c r="F69" i="4" s="1"/>
  <c r="E210" i="4"/>
  <c r="F210" i="4" s="1"/>
  <c r="E104" i="4"/>
  <c r="F104" i="4" s="1"/>
  <c r="E220" i="4"/>
  <c r="F220" i="4" s="1"/>
  <c r="E192" i="4"/>
  <c r="F192" i="4" s="1"/>
  <c r="E233" i="4"/>
  <c r="F233" i="4" s="1"/>
  <c r="E181" i="12"/>
  <c r="F181" i="12" s="1"/>
  <c r="E51" i="12"/>
  <c r="F51" i="12" s="1"/>
  <c r="E68" i="11"/>
  <c r="F68" i="11" s="1"/>
  <c r="E148" i="11"/>
  <c r="F148" i="11" s="1"/>
  <c r="E157" i="11"/>
  <c r="F157" i="11" s="1"/>
  <c r="E21" i="11"/>
  <c r="F21" i="11" s="1"/>
  <c r="E109" i="11"/>
  <c r="F109" i="11" s="1"/>
  <c r="E223" i="11"/>
  <c r="F223" i="11" s="1"/>
  <c r="E70" i="11"/>
  <c r="F70" i="11" s="1"/>
  <c r="E150" i="11"/>
  <c r="F150" i="11" s="1"/>
  <c r="E103" i="11"/>
  <c r="F103" i="11" s="1"/>
  <c r="E229" i="11"/>
  <c r="F229" i="11" s="1"/>
  <c r="E79" i="11"/>
  <c r="F79" i="11" s="1"/>
  <c r="E222" i="11"/>
  <c r="F222" i="11" s="1"/>
  <c r="E88" i="11"/>
  <c r="F88" i="11" s="1"/>
  <c r="E168" i="11"/>
  <c r="F168" i="11" s="1"/>
  <c r="E235" i="11"/>
  <c r="F235" i="11" s="1"/>
  <c r="E73" i="11"/>
  <c r="F73" i="11" s="1"/>
  <c r="E153" i="11"/>
  <c r="F153" i="11" s="1"/>
  <c r="E162" i="11"/>
  <c r="F162" i="11" s="1"/>
  <c r="E167" i="15"/>
  <c r="F167" i="15" s="1"/>
  <c r="E163" i="11"/>
  <c r="F163" i="11" s="1"/>
  <c r="E165" i="15"/>
  <c r="F165" i="15" s="1"/>
  <c r="E42" i="11"/>
  <c r="F42" i="11" s="1"/>
  <c r="E225" i="15"/>
  <c r="F225" i="15" s="1"/>
  <c r="E232" i="11"/>
  <c r="F232" i="11" s="1"/>
  <c r="E202" i="15"/>
  <c r="F202" i="15" s="1"/>
  <c r="E147" i="11"/>
  <c r="F147" i="11" s="1"/>
  <c r="E173" i="15"/>
  <c r="F173" i="15" s="1"/>
  <c r="E140" i="10"/>
  <c r="F140" i="10" s="1"/>
  <c r="E5" i="15"/>
  <c r="F5" i="15" s="1"/>
  <c r="E111" i="12"/>
  <c r="F111" i="12" s="1"/>
  <c r="E120" i="15"/>
  <c r="F120" i="15" s="1"/>
  <c r="E105" i="15"/>
  <c r="F105" i="15" s="1"/>
  <c r="E53" i="15"/>
  <c r="F53" i="15" s="1"/>
  <c r="E188" i="15"/>
  <c r="F188" i="15" s="1"/>
  <c r="E39" i="15"/>
  <c r="F39" i="15" s="1"/>
  <c r="E74" i="10"/>
  <c r="F74" i="10" s="1"/>
  <c r="E143" i="10"/>
  <c r="F143" i="10" s="1"/>
  <c r="E156" i="10"/>
  <c r="F156" i="10" s="1"/>
  <c r="E114" i="10"/>
  <c r="F114" i="10" s="1"/>
  <c r="E117" i="10"/>
  <c r="F117" i="10" s="1"/>
  <c r="E191" i="6"/>
  <c r="F191" i="6" s="1"/>
  <c r="E216" i="10"/>
  <c r="F216" i="10" s="1"/>
  <c r="E50" i="6"/>
  <c r="F50" i="6" s="1"/>
  <c r="E88" i="6"/>
  <c r="F88" i="6" s="1"/>
  <c r="E155" i="6"/>
  <c r="F155" i="6" s="1"/>
  <c r="E128" i="10"/>
  <c r="F128" i="10" s="1"/>
  <c r="E104" i="10"/>
  <c r="F104" i="10" s="1"/>
  <c r="E46" i="6"/>
  <c r="F46" i="6" s="1"/>
  <c r="E154" i="12"/>
  <c r="F154" i="12" s="1"/>
  <c r="E179" i="4"/>
  <c r="F179" i="4" s="1"/>
  <c r="E106" i="4"/>
  <c r="F106" i="4" s="1"/>
  <c r="E52" i="4"/>
  <c r="F52" i="4" s="1"/>
  <c r="E61" i="4"/>
  <c r="F61" i="4" s="1"/>
  <c r="E148" i="4"/>
  <c r="F148" i="4" s="1"/>
  <c r="E219" i="4"/>
  <c r="F219" i="4" s="1"/>
  <c r="E147" i="4"/>
  <c r="F147" i="4" s="1"/>
  <c r="E95" i="4"/>
  <c r="F95" i="4" s="1"/>
  <c r="E119" i="4"/>
  <c r="F119" i="4" s="1"/>
  <c r="E18" i="12"/>
  <c r="F18" i="12" s="1"/>
  <c r="E20" i="11"/>
  <c r="F20" i="11" s="1"/>
  <c r="E108" i="11"/>
  <c r="F108" i="11" s="1"/>
  <c r="E196" i="11"/>
  <c r="F196" i="11" s="1"/>
  <c r="E209" i="11"/>
  <c r="F209" i="11" s="1"/>
  <c r="E61" i="11"/>
  <c r="F61" i="11" s="1"/>
  <c r="E189" i="11"/>
  <c r="F189" i="11" s="1"/>
  <c r="E22" i="11"/>
  <c r="F22" i="11" s="1"/>
  <c r="E110" i="11"/>
  <c r="F110" i="11" s="1"/>
  <c r="E198" i="11"/>
  <c r="F198" i="11" s="1"/>
  <c r="E175" i="11"/>
  <c r="F175" i="11" s="1"/>
  <c r="E39" i="11"/>
  <c r="F39" i="11" s="1"/>
  <c r="E183" i="11"/>
  <c r="F183" i="11" s="1"/>
  <c r="E40" i="11"/>
  <c r="F40" i="11" s="1"/>
  <c r="E128" i="11"/>
  <c r="F128" i="11" s="1"/>
  <c r="E142" i="12"/>
  <c r="F142" i="12" s="1"/>
  <c r="E25" i="11"/>
  <c r="F25" i="11" s="1"/>
  <c r="E113" i="11"/>
  <c r="F113" i="11" s="1"/>
  <c r="E201" i="11"/>
  <c r="F201" i="11" s="1"/>
  <c r="E212" i="15"/>
  <c r="F212" i="15" s="1"/>
  <c r="E154" i="15"/>
  <c r="F154" i="15" s="1"/>
  <c r="E219" i="15"/>
  <c r="F219" i="15" s="1"/>
  <c r="E153" i="15"/>
  <c r="F153" i="15" s="1"/>
  <c r="E107" i="11"/>
  <c r="F107" i="11" s="1"/>
  <c r="E163" i="15"/>
  <c r="F163" i="15" s="1"/>
  <c r="E237" i="15"/>
  <c r="F237" i="15" s="1"/>
  <c r="E18" i="11"/>
  <c r="F18" i="11" s="1"/>
  <c r="E222" i="15"/>
  <c r="F222" i="15" s="1"/>
  <c r="E142" i="15"/>
  <c r="F142" i="15" s="1"/>
  <c r="E207" i="15"/>
  <c r="F207" i="15" s="1"/>
  <c r="E125" i="15"/>
  <c r="F125" i="15" s="1"/>
  <c r="E21" i="15"/>
  <c r="F21" i="15" s="1"/>
  <c r="E26" i="15"/>
  <c r="F26" i="15" s="1"/>
  <c r="E60" i="15"/>
  <c r="F60" i="15" s="1"/>
  <c r="E122" i="15"/>
  <c r="F122" i="15" s="1"/>
  <c r="E84" i="15"/>
  <c r="F84" i="15" s="1"/>
  <c r="E107" i="15"/>
  <c r="F107" i="15" s="1"/>
  <c r="E228" i="10"/>
  <c r="F228" i="10" s="1"/>
  <c r="E206" i="15"/>
  <c r="F206" i="15" s="1"/>
  <c r="E132" i="10"/>
  <c r="F132" i="10" s="1"/>
  <c r="E31" i="10"/>
  <c r="F31" i="10" s="1"/>
  <c r="E231" i="6"/>
  <c r="F231" i="6" s="1"/>
  <c r="E97" i="6"/>
  <c r="F97" i="6" s="1"/>
  <c r="E168" i="6"/>
  <c r="F168" i="6" s="1"/>
  <c r="E230" i="6"/>
  <c r="F230" i="6" s="1"/>
  <c r="E151" i="10"/>
  <c r="F151" i="10" s="1"/>
  <c r="E85" i="10"/>
  <c r="F85" i="10" s="1"/>
  <c r="E131" i="6"/>
  <c r="F131" i="6" s="1"/>
  <c r="E206" i="9"/>
  <c r="F206" i="9" s="1"/>
  <c r="E135" i="10"/>
  <c r="F135" i="10" s="1"/>
  <c r="E115" i="11"/>
  <c r="F115" i="11" s="1"/>
  <c r="E154" i="11"/>
  <c r="F154" i="11" s="1"/>
  <c r="E175" i="15"/>
  <c r="F175" i="15" s="1"/>
  <c r="E170" i="15"/>
  <c r="F170" i="15" s="1"/>
  <c r="E223" i="15"/>
  <c r="F223" i="15" s="1"/>
  <c r="E216" i="12"/>
  <c r="F216" i="12" s="1"/>
  <c r="E74" i="15"/>
  <c r="F74" i="15" s="1"/>
  <c r="E81" i="15"/>
  <c r="F81" i="15" s="1"/>
  <c r="E87" i="15"/>
  <c r="F87" i="15" s="1"/>
  <c r="E99" i="15"/>
  <c r="F99" i="15" s="1"/>
  <c r="E17" i="9"/>
  <c r="F17" i="9" s="1"/>
  <c r="E86" i="15"/>
  <c r="F86" i="15" s="1"/>
  <c r="E28" i="10"/>
  <c r="F28" i="10" s="1"/>
  <c r="E40" i="15"/>
  <c r="F40" i="15" s="1"/>
  <c r="E11" i="15"/>
  <c r="F11" i="15" s="1"/>
  <c r="E107" i="10"/>
  <c r="F107" i="10" s="1"/>
  <c r="E54" i="10"/>
  <c r="F54" i="10" s="1"/>
  <c r="E48" i="10"/>
  <c r="F48" i="10" s="1"/>
  <c r="E213" i="10"/>
  <c r="F213" i="10" s="1"/>
  <c r="E177" i="6"/>
  <c r="F177" i="6" s="1"/>
  <c r="E213" i="6"/>
  <c r="F213" i="6" s="1"/>
  <c r="E169" i="6"/>
  <c r="F169" i="6" s="1"/>
  <c r="E197" i="6"/>
  <c r="F197" i="6" s="1"/>
  <c r="E211" i="6"/>
  <c r="F211" i="6" s="1"/>
  <c r="E116" i="6"/>
  <c r="F116" i="6" s="1"/>
  <c r="E173" i="6"/>
  <c r="F173" i="6" s="1"/>
  <c r="E39" i="6"/>
  <c r="F39" i="6" s="1"/>
  <c r="E19" i="6"/>
  <c r="F19" i="6" s="1"/>
  <c r="E195" i="6"/>
  <c r="F195" i="6" s="1"/>
  <c r="E169" i="10"/>
  <c r="F169" i="10" s="1"/>
  <c r="E111" i="15"/>
  <c r="F111" i="15" s="1"/>
  <c r="E101" i="15"/>
  <c r="F101" i="15" s="1"/>
  <c r="E108" i="15"/>
  <c r="F108" i="15" s="1"/>
  <c r="E17" i="15"/>
  <c r="F17" i="15" s="1"/>
  <c r="E130" i="15"/>
  <c r="F130" i="15" s="1"/>
  <c r="E126" i="15"/>
  <c r="F126" i="15" s="1"/>
  <c r="E37" i="15"/>
  <c r="F37" i="15" s="1"/>
  <c r="E114" i="15"/>
  <c r="F114" i="15" s="1"/>
  <c r="E83" i="15"/>
  <c r="F83" i="15" s="1"/>
  <c r="E30" i="15"/>
  <c r="F30" i="15" s="1"/>
  <c r="E89" i="15"/>
  <c r="F89" i="15" s="1"/>
  <c r="E139" i="10"/>
  <c r="F139" i="10" s="1"/>
  <c r="E101" i="10"/>
  <c r="F101" i="10" s="1"/>
  <c r="E93" i="10"/>
  <c r="F93" i="10" s="1"/>
  <c r="E8" i="10"/>
  <c r="F8" i="10" s="1"/>
  <c r="E198" i="6"/>
  <c r="F198" i="6" s="1"/>
  <c r="E224" i="6"/>
  <c r="F224" i="6" s="1"/>
  <c r="E77" i="15"/>
  <c r="F77" i="15" s="1"/>
  <c r="E106" i="6"/>
  <c r="F106" i="6" s="1"/>
  <c r="E216" i="6"/>
  <c r="F216" i="6" s="1"/>
  <c r="E9" i="9"/>
  <c r="F9" i="9" s="1"/>
  <c r="E55" i="6"/>
  <c r="F55" i="6" s="1"/>
  <c r="E75" i="6"/>
  <c r="F75" i="6" s="1"/>
  <c r="E10" i="11"/>
  <c r="F10" i="11" s="1"/>
  <c r="E194" i="15"/>
  <c r="F194" i="15" s="1"/>
  <c r="E139" i="11"/>
  <c r="F139" i="11" s="1"/>
  <c r="E191" i="15"/>
  <c r="F191" i="15" s="1"/>
  <c r="E19" i="11"/>
  <c r="F19" i="11" s="1"/>
  <c r="E230" i="15"/>
  <c r="F230" i="15" s="1"/>
  <c r="E190" i="15"/>
  <c r="F190" i="15" s="1"/>
  <c r="E39" i="10"/>
  <c r="F39" i="10" s="1"/>
  <c r="E201" i="5"/>
  <c r="F201" i="5" s="1"/>
  <c r="E117" i="15"/>
  <c r="F117" i="15" s="1"/>
  <c r="E161" i="15"/>
  <c r="F161" i="15" s="1"/>
  <c r="E51" i="15"/>
  <c r="F51" i="15" s="1"/>
  <c r="E41" i="15"/>
  <c r="F41" i="15" s="1"/>
  <c r="E157" i="15"/>
  <c r="F157" i="15" s="1"/>
  <c r="E12" i="15"/>
  <c r="F12" i="15" s="1"/>
  <c r="E29" i="15"/>
  <c r="F29" i="15" s="1"/>
  <c r="E148" i="15"/>
  <c r="F148" i="15" s="1"/>
  <c r="E136" i="15"/>
  <c r="F136" i="15" s="1"/>
  <c r="E144" i="9"/>
  <c r="F144" i="9" s="1"/>
  <c r="E14" i="15"/>
  <c r="F14" i="15" s="1"/>
  <c r="E22" i="15"/>
  <c r="F22" i="15" s="1"/>
  <c r="E123" i="15"/>
  <c r="F123" i="15" s="1"/>
  <c r="E78" i="15"/>
  <c r="F78" i="15" s="1"/>
  <c r="E111" i="10"/>
  <c r="F111" i="10" s="1"/>
  <c r="E204" i="10"/>
  <c r="F204" i="10" s="1"/>
  <c r="E76" i="15"/>
  <c r="F76" i="15" s="1"/>
  <c r="E52" i="15"/>
  <c r="F52" i="15" s="1"/>
  <c r="E231" i="15"/>
  <c r="F231" i="15" s="1"/>
  <c r="E15" i="10"/>
  <c r="F15" i="10" s="1"/>
  <c r="E148" i="10"/>
  <c r="F148" i="10" s="1"/>
  <c r="E161" i="6"/>
  <c r="F161" i="6" s="1"/>
  <c r="E163" i="10"/>
  <c r="F163" i="10" s="1"/>
  <c r="E146" i="6"/>
  <c r="F146" i="6" s="1"/>
  <c r="E74" i="6"/>
  <c r="F74" i="6" s="1"/>
  <c r="E202" i="6"/>
  <c r="F202" i="6" s="1"/>
  <c r="E77" i="6"/>
  <c r="F77" i="6" s="1"/>
  <c r="E180" i="6"/>
  <c r="F180" i="6" s="1"/>
  <c r="E53" i="6"/>
  <c r="F53" i="6" s="1"/>
  <c r="E147" i="6"/>
  <c r="F147" i="6" s="1"/>
  <c r="E224" i="10"/>
  <c r="F224" i="10" s="1"/>
  <c r="E79" i="9"/>
  <c r="F79" i="9" s="1"/>
  <c r="E104" i="6"/>
  <c r="F104" i="6" s="1"/>
  <c r="E214" i="6"/>
  <c r="F214" i="6" s="1"/>
  <c r="E35" i="11"/>
  <c r="F35" i="11" s="1"/>
  <c r="E145" i="15"/>
  <c r="F145" i="15" s="1"/>
  <c r="E170" i="11"/>
  <c r="F170" i="11" s="1"/>
  <c r="E210" i="15"/>
  <c r="F210" i="15" s="1"/>
  <c r="E138" i="15"/>
  <c r="F138" i="15" s="1"/>
  <c r="E224" i="15"/>
  <c r="F224" i="15" s="1"/>
  <c r="E226" i="11"/>
  <c r="F226" i="11" s="1"/>
  <c r="E179" i="11"/>
  <c r="F179" i="11" s="1"/>
  <c r="E200" i="15"/>
  <c r="F200" i="15" s="1"/>
  <c r="E135" i="15"/>
  <c r="F135" i="15" s="1"/>
  <c r="E34" i="11"/>
  <c r="F34" i="11" s="1"/>
  <c r="E150" i="15"/>
  <c r="F150" i="15" s="1"/>
  <c r="E169" i="15"/>
  <c r="F169" i="15" s="1"/>
  <c r="E19" i="15"/>
  <c r="F19" i="15" s="1"/>
  <c r="E116" i="15"/>
  <c r="F116" i="15" s="1"/>
  <c r="E131" i="15"/>
  <c r="F131" i="15" s="1"/>
  <c r="E42" i="15"/>
  <c r="F42" i="15" s="1"/>
  <c r="E96" i="15"/>
  <c r="F96" i="15" s="1"/>
  <c r="E143" i="15"/>
  <c r="F143" i="15" s="1"/>
  <c r="E34" i="15"/>
  <c r="F34" i="15" s="1"/>
  <c r="E115" i="15"/>
  <c r="F115" i="15" s="1"/>
  <c r="E36" i="15"/>
  <c r="F36" i="15" s="1"/>
  <c r="E160" i="15"/>
  <c r="F160" i="15" s="1"/>
  <c r="E140" i="15"/>
  <c r="F140" i="15" s="1"/>
  <c r="E70" i="10"/>
  <c r="F70" i="10" s="1"/>
  <c r="E172" i="15"/>
  <c r="F172" i="15" s="1"/>
  <c r="E104" i="15"/>
  <c r="F104" i="15" s="1"/>
  <c r="E144" i="15"/>
  <c r="F144" i="15" s="1"/>
  <c r="E207" i="10"/>
  <c r="F207" i="10" s="1"/>
  <c r="E16" i="15"/>
  <c r="F16" i="15" s="1"/>
  <c r="E155" i="11"/>
  <c r="F155" i="11" s="1"/>
  <c r="E134" i="10"/>
  <c r="F134" i="10" s="1"/>
  <c r="E40" i="10"/>
  <c r="F40" i="10" s="1"/>
  <c r="E174" i="6"/>
  <c r="F174" i="6" s="1"/>
  <c r="E96" i="6"/>
  <c r="F96" i="6" s="1"/>
  <c r="E215" i="10"/>
  <c r="F215" i="10" s="1"/>
  <c r="E10" i="10"/>
  <c r="F10" i="10" s="1"/>
  <c r="E226" i="6"/>
  <c r="F226" i="6" s="1"/>
  <c r="E105" i="6"/>
  <c r="F105" i="6" s="1"/>
  <c r="E21" i="10"/>
  <c r="F21" i="10" s="1"/>
  <c r="E82" i="6"/>
  <c r="F82" i="6" s="1"/>
  <c r="E193" i="10"/>
  <c r="F193" i="10" s="1"/>
  <c r="E112" i="10"/>
  <c r="F112" i="10" s="1"/>
  <c r="E116" i="9"/>
  <c r="F116" i="9" s="1"/>
  <c r="E43" i="6"/>
  <c r="F43" i="6" s="1"/>
  <c r="E7" i="6"/>
  <c r="F7" i="6" s="1"/>
  <c r="E183" i="12"/>
  <c r="F183" i="12" s="1"/>
  <c r="E227" i="11"/>
  <c r="F227" i="11" s="1"/>
  <c r="E60" i="11"/>
  <c r="F60" i="11" s="1"/>
  <c r="E124" i="11"/>
  <c r="F124" i="11" s="1"/>
  <c r="E188" i="11"/>
  <c r="F188" i="11" s="1"/>
  <c r="E181" i="11"/>
  <c r="F181" i="11" s="1"/>
  <c r="E13" i="11"/>
  <c r="F13" i="11" s="1"/>
  <c r="E77" i="11"/>
  <c r="F77" i="11" s="1"/>
  <c r="E173" i="11"/>
  <c r="F173" i="11" s="1"/>
  <c r="E234" i="11"/>
  <c r="F234" i="11" s="1"/>
  <c r="E62" i="11"/>
  <c r="F62" i="11" s="1"/>
  <c r="E126" i="11"/>
  <c r="F126" i="11" s="1"/>
  <c r="E190" i="11"/>
  <c r="F190" i="11" s="1"/>
  <c r="E135" i="11"/>
  <c r="F135" i="11" s="1"/>
  <c r="E237" i="11"/>
  <c r="F237" i="11" s="1"/>
  <c r="E55" i="11"/>
  <c r="F55" i="11" s="1"/>
  <c r="E159" i="11"/>
  <c r="F159" i="11" s="1"/>
  <c r="E16" i="11"/>
  <c r="F16" i="11" s="1"/>
  <c r="E80" i="11"/>
  <c r="F80" i="11" s="1"/>
  <c r="E144" i="11"/>
  <c r="F144" i="11" s="1"/>
  <c r="E208" i="11"/>
  <c r="F208" i="11" s="1"/>
  <c r="E210" i="11"/>
  <c r="F210" i="11" s="1"/>
  <c r="E65" i="11"/>
  <c r="F65" i="11" s="1"/>
  <c r="E129" i="11"/>
  <c r="F129" i="11" s="1"/>
  <c r="E193" i="11"/>
  <c r="F193" i="11" s="1"/>
  <c r="E131" i="11"/>
  <c r="F131" i="11" s="1"/>
  <c r="E202" i="11"/>
  <c r="F202" i="11" s="1"/>
  <c r="E83" i="11"/>
  <c r="F83" i="11" s="1"/>
  <c r="E186" i="11"/>
  <c r="F186" i="11" s="1"/>
  <c r="E186" i="10"/>
  <c r="F186" i="10" s="1"/>
  <c r="E145" i="10"/>
  <c r="F145" i="10" s="1"/>
  <c r="E129" i="10"/>
  <c r="F129" i="10" s="1"/>
  <c r="E155" i="10"/>
  <c r="F155" i="10" s="1"/>
  <c r="E217" i="10"/>
  <c r="F217" i="10" s="1"/>
  <c r="E168" i="10"/>
  <c r="F168" i="10" s="1"/>
  <c r="E110" i="10"/>
  <c r="F110" i="10" s="1"/>
  <c r="E66" i="10"/>
  <c r="F66" i="10" s="1"/>
  <c r="E230" i="10"/>
  <c r="F230" i="10" s="1"/>
  <c r="E86" i="10"/>
  <c r="F86" i="10" s="1"/>
  <c r="E50" i="10"/>
  <c r="F50" i="10" s="1"/>
  <c r="E120" i="10"/>
  <c r="F120" i="10" s="1"/>
  <c r="E191" i="12"/>
  <c r="F191" i="12" s="1"/>
  <c r="E28" i="11"/>
  <c r="F28" i="11" s="1"/>
  <c r="E92" i="11"/>
  <c r="F92" i="11" s="1"/>
  <c r="E156" i="11"/>
  <c r="F156" i="11" s="1"/>
  <c r="E93" i="11"/>
  <c r="F93" i="11" s="1"/>
  <c r="E3" i="11"/>
  <c r="F3" i="11" s="1"/>
  <c r="E45" i="11"/>
  <c r="F45" i="11" s="1"/>
  <c r="E117" i="11"/>
  <c r="F117" i="11" s="1"/>
  <c r="E213" i="11"/>
  <c r="F213" i="11" s="1"/>
  <c r="E30" i="11"/>
  <c r="F30" i="11" s="1"/>
  <c r="E94" i="11"/>
  <c r="F94" i="11" s="1"/>
  <c r="E158" i="11"/>
  <c r="F158" i="11" s="1"/>
  <c r="E31" i="11"/>
  <c r="F31" i="11" s="1"/>
  <c r="E191" i="11"/>
  <c r="F191" i="11" s="1"/>
  <c r="E15" i="11"/>
  <c r="F15" i="11" s="1"/>
  <c r="E95" i="11"/>
  <c r="F95" i="11" s="1"/>
  <c r="E230" i="11"/>
  <c r="F230" i="11" s="1"/>
  <c r="E48" i="11"/>
  <c r="F48" i="11" s="1"/>
  <c r="E112" i="11"/>
  <c r="F112" i="11" s="1"/>
  <c r="E176" i="11"/>
  <c r="F176" i="11" s="1"/>
  <c r="E228" i="11"/>
  <c r="F228" i="11" s="1"/>
  <c r="E33" i="11"/>
  <c r="F33" i="11" s="1"/>
  <c r="E97" i="11"/>
  <c r="F97" i="11" s="1"/>
  <c r="E161" i="11"/>
  <c r="F161" i="11" s="1"/>
  <c r="E98" i="11"/>
  <c r="F98" i="11" s="1"/>
  <c r="E215" i="11"/>
  <c r="F215" i="11" s="1"/>
  <c r="E74" i="11"/>
  <c r="F74" i="11" s="1"/>
  <c r="E75" i="11"/>
  <c r="F75" i="11" s="1"/>
  <c r="E82" i="11"/>
  <c r="F82" i="11" s="1"/>
  <c r="E58" i="11"/>
  <c r="F58" i="11" s="1"/>
  <c r="E175" i="10"/>
  <c r="F175" i="10" s="1"/>
  <c r="E184" i="10"/>
  <c r="F184" i="10" s="1"/>
  <c r="E73" i="10"/>
  <c r="F73" i="10" s="1"/>
  <c r="E220" i="10"/>
  <c r="F220" i="10" s="1"/>
  <c r="E41" i="10"/>
  <c r="F41" i="10" s="1"/>
  <c r="E20" i="10"/>
  <c r="F20" i="10" s="1"/>
  <c r="E231" i="10"/>
  <c r="F231" i="10" s="1"/>
  <c r="E92" i="10"/>
  <c r="F92" i="10" s="1"/>
  <c r="E33" i="10"/>
  <c r="F33" i="10" s="1"/>
  <c r="E32" i="10"/>
  <c r="F32" i="10" s="1"/>
  <c r="E154" i="10"/>
  <c r="F154" i="10" s="1"/>
  <c r="E26" i="11"/>
  <c r="F26" i="11" s="1"/>
  <c r="E123" i="10"/>
  <c r="F123" i="10" s="1"/>
  <c r="E119" i="15"/>
  <c r="F119" i="15" s="1"/>
  <c r="E147" i="15"/>
  <c r="F147" i="15" s="1"/>
  <c r="E33" i="15"/>
  <c r="F33" i="15" s="1"/>
  <c r="E133" i="15"/>
  <c r="F133" i="15" s="1"/>
  <c r="E67" i="15"/>
  <c r="F67" i="15" s="1"/>
  <c r="E97" i="15"/>
  <c r="F97" i="15" s="1"/>
  <c r="E58" i="15"/>
  <c r="F58" i="15" s="1"/>
  <c r="E118" i="15"/>
  <c r="F118" i="15" s="1"/>
  <c r="E28" i="15"/>
  <c r="F28" i="15" s="1"/>
  <c r="E102" i="15"/>
  <c r="F102" i="15" s="1"/>
  <c r="E50" i="15"/>
  <c r="F50" i="15" s="1"/>
  <c r="E183" i="15"/>
  <c r="F183" i="15" s="1"/>
  <c r="E121" i="15"/>
  <c r="F121" i="15" s="1"/>
  <c r="E83" i="10"/>
  <c r="F83" i="10" s="1"/>
  <c r="E102" i="10"/>
  <c r="F102" i="10" s="1"/>
  <c r="E38" i="15"/>
  <c r="F38" i="15" s="1"/>
  <c r="E15" i="15"/>
  <c r="F15" i="15" s="1"/>
  <c r="E200" i="10"/>
  <c r="F200" i="10" s="1"/>
  <c r="E221" i="15"/>
  <c r="F221" i="15" s="1"/>
  <c r="E110" i="15"/>
  <c r="F110" i="15" s="1"/>
  <c r="E155" i="15"/>
  <c r="F155" i="15" s="1"/>
  <c r="E68" i="10"/>
  <c r="F68" i="10" s="1"/>
  <c r="E61" i="10"/>
  <c r="F61" i="10" s="1"/>
  <c r="E24" i="15"/>
  <c r="F24" i="15" s="1"/>
  <c r="E59" i="15"/>
  <c r="F59" i="15" s="1"/>
  <c r="E46" i="10"/>
  <c r="F46" i="10" s="1"/>
  <c r="E203" i="10"/>
  <c r="F203" i="10" s="1"/>
  <c r="E27" i="11"/>
  <c r="F27" i="11" s="1"/>
  <c r="E225" i="10"/>
  <c r="F225" i="10" s="1"/>
  <c r="E54" i="15"/>
  <c r="F54" i="15" s="1"/>
  <c r="E45" i="10"/>
  <c r="F45" i="10" s="1"/>
  <c r="E86" i="6"/>
  <c r="F86" i="6" s="1"/>
  <c r="E107" i="6"/>
  <c r="F107" i="6" s="1"/>
  <c r="E176" i="10"/>
  <c r="F176" i="10" s="1"/>
  <c r="E165" i="10"/>
  <c r="F165" i="10" s="1"/>
  <c r="E124" i="6"/>
  <c r="F124" i="6" s="1"/>
  <c r="E72" i="10"/>
  <c r="F72" i="10" s="1"/>
  <c r="E188" i="10"/>
  <c r="F188" i="10" s="1"/>
  <c r="E123" i="6"/>
  <c r="F123" i="6" s="1"/>
  <c r="E45" i="6"/>
  <c r="F45" i="6" s="1"/>
  <c r="E236" i="6"/>
  <c r="F236" i="6" s="1"/>
  <c r="E175" i="6"/>
  <c r="F175" i="6" s="1"/>
  <c r="E177" i="10"/>
  <c r="F177" i="10" s="1"/>
  <c r="E170" i="6"/>
  <c r="F170" i="6" s="1"/>
  <c r="E146" i="10"/>
  <c r="F146" i="10" s="1"/>
  <c r="E79" i="6"/>
  <c r="F79" i="6" s="1"/>
  <c r="E37" i="6"/>
  <c r="F37" i="6" s="1"/>
  <c r="E3" i="15"/>
  <c r="F3" i="15" s="1"/>
  <c r="E147" i="10"/>
  <c r="F147" i="10" s="1"/>
  <c r="E110" i="6"/>
  <c r="F110" i="6" s="1"/>
  <c r="E199" i="15"/>
  <c r="F199" i="15" s="1"/>
  <c r="E93" i="15"/>
  <c r="F93" i="15" s="1"/>
  <c r="E156" i="15"/>
  <c r="F156" i="15" s="1"/>
  <c r="E79" i="15"/>
  <c r="F79" i="15" s="1"/>
  <c r="E214" i="15"/>
  <c r="F214" i="15" s="1"/>
  <c r="E43" i="15"/>
  <c r="F43" i="15" s="1"/>
  <c r="E186" i="15"/>
  <c r="F186" i="15" s="1"/>
  <c r="E71" i="15"/>
  <c r="F71" i="15" s="1"/>
  <c r="E189" i="15"/>
  <c r="F189" i="15" s="1"/>
  <c r="E216" i="15"/>
  <c r="F216" i="15" s="1"/>
  <c r="E8" i="15"/>
  <c r="F8" i="15" s="1"/>
  <c r="E173" i="10"/>
  <c r="F173" i="10" s="1"/>
  <c r="E7" i="15"/>
  <c r="F7" i="15" s="1"/>
  <c r="E19" i="9"/>
  <c r="F19" i="9" s="1"/>
  <c r="E48" i="15"/>
  <c r="F48" i="15" s="1"/>
  <c r="E190" i="10"/>
  <c r="F190" i="10" s="1"/>
  <c r="E70" i="15"/>
  <c r="F70" i="15" s="1"/>
  <c r="E110" i="9"/>
  <c r="F110" i="9" s="1"/>
  <c r="E80" i="15"/>
  <c r="F80" i="15" s="1"/>
  <c r="E161" i="10"/>
  <c r="F161" i="10" s="1"/>
  <c r="E199" i="10"/>
  <c r="F199" i="10" s="1"/>
  <c r="E172" i="10"/>
  <c r="F172" i="10" s="1"/>
  <c r="E89" i="10"/>
  <c r="F89" i="10" s="1"/>
  <c r="E98" i="15"/>
  <c r="F98" i="15" s="1"/>
  <c r="E220" i="6"/>
  <c r="F220" i="6" s="1"/>
  <c r="E232" i="6"/>
  <c r="F232" i="6" s="1"/>
  <c r="E227" i="10"/>
  <c r="F227" i="10" s="1"/>
  <c r="E138" i="10"/>
  <c r="F138" i="10" s="1"/>
  <c r="E218" i="6"/>
  <c r="F218" i="6" s="1"/>
  <c r="E34" i="10"/>
  <c r="F34" i="10" s="1"/>
  <c r="E159" i="10"/>
  <c r="F159" i="10" s="1"/>
  <c r="E150" i="10"/>
  <c r="F150" i="10" s="1"/>
  <c r="E162" i="6"/>
  <c r="F162" i="6" s="1"/>
  <c r="E137" i="6"/>
  <c r="F137" i="6" s="1"/>
  <c r="E14" i="10"/>
  <c r="F14" i="10" s="1"/>
  <c r="E182" i="6"/>
  <c r="F182" i="6" s="1"/>
  <c r="E56" i="6"/>
  <c r="F56" i="6" s="1"/>
  <c r="E201" i="10"/>
  <c r="F201" i="10" s="1"/>
  <c r="E172" i="6"/>
  <c r="F172" i="6" s="1"/>
  <c r="E98" i="6"/>
  <c r="F98" i="6" s="1"/>
  <c r="E113" i="10"/>
  <c r="F113" i="10" s="1"/>
  <c r="E180" i="10"/>
  <c r="F180" i="10" s="1"/>
  <c r="E204" i="6"/>
  <c r="F204" i="6" s="1"/>
  <c r="E201" i="6"/>
  <c r="F201" i="6" s="1"/>
  <c r="E91" i="6"/>
  <c r="F91" i="6" s="1"/>
  <c r="E178" i="11"/>
  <c r="F178" i="11" s="1"/>
  <c r="E68" i="6"/>
  <c r="F68" i="6" s="1"/>
  <c r="E49" i="10"/>
  <c r="F49" i="10" s="1"/>
  <c r="E97" i="10"/>
  <c r="F97" i="10" s="1"/>
  <c r="E198" i="10"/>
  <c r="F198" i="10" s="1"/>
  <c r="E124" i="9"/>
  <c r="F124" i="9" s="1"/>
  <c r="E88" i="10"/>
  <c r="F88" i="10" s="1"/>
  <c r="E75" i="15"/>
  <c r="F75" i="15" s="1"/>
  <c r="E31" i="15"/>
  <c r="F31" i="15" s="1"/>
  <c r="E91" i="10"/>
  <c r="F91" i="10" s="1"/>
  <c r="E80" i="10"/>
  <c r="F80" i="10" s="1"/>
  <c r="E91" i="15"/>
  <c r="F91" i="15" s="1"/>
  <c r="E112" i="9"/>
  <c r="F112" i="9" s="1"/>
  <c r="E129" i="15"/>
  <c r="F129" i="15" s="1"/>
  <c r="E218" i="10"/>
  <c r="F218" i="10" s="1"/>
  <c r="E183" i="10"/>
  <c r="F183" i="10" s="1"/>
  <c r="E196" i="10"/>
  <c r="F196" i="10" s="1"/>
  <c r="E78" i="10"/>
  <c r="F78" i="10" s="1"/>
  <c r="E231" i="11"/>
  <c r="F231" i="11" s="1"/>
  <c r="E56" i="15"/>
  <c r="F56" i="15" s="1"/>
  <c r="E65" i="15"/>
  <c r="F65" i="15" s="1"/>
  <c r="E210" i="10"/>
  <c r="F210" i="10" s="1"/>
  <c r="E57" i="10"/>
  <c r="F57" i="10" s="1"/>
  <c r="E235" i="10"/>
  <c r="F235" i="10" s="1"/>
  <c r="E18" i="10"/>
  <c r="F18" i="10" s="1"/>
  <c r="E145" i="6"/>
  <c r="F145" i="6" s="1"/>
  <c r="E13" i="15"/>
  <c r="F13" i="15" s="1"/>
  <c r="E51" i="10"/>
  <c r="F51" i="10" s="1"/>
  <c r="E236" i="10"/>
  <c r="F236" i="10" s="1"/>
  <c r="E150" i="6"/>
  <c r="F150" i="6" s="1"/>
  <c r="E121" i="6"/>
  <c r="F121" i="6" s="1"/>
  <c r="E47" i="10"/>
  <c r="F47" i="10" s="1"/>
  <c r="E7" i="10"/>
  <c r="F7" i="10" s="1"/>
  <c r="E165" i="6"/>
  <c r="F165" i="6" s="1"/>
  <c r="E238" i="10"/>
  <c r="F238" i="10" s="1"/>
  <c r="E26" i="10"/>
  <c r="F26" i="10" s="1"/>
  <c r="E13" i="10"/>
  <c r="F13" i="10" s="1"/>
  <c r="E192" i="6"/>
  <c r="F192" i="6" s="1"/>
  <c r="E18" i="6"/>
  <c r="F18" i="6" s="1"/>
  <c r="E28" i="9"/>
  <c r="F28" i="9" s="1"/>
  <c r="E144" i="6"/>
  <c r="F144" i="6" s="1"/>
  <c r="E73" i="9"/>
  <c r="F73" i="9" s="1"/>
  <c r="E126" i="6"/>
  <c r="F126" i="6" s="1"/>
  <c r="E212" i="6"/>
  <c r="F212" i="6" s="1"/>
  <c r="E20" i="6"/>
  <c r="F20" i="6" s="1"/>
  <c r="E30" i="6"/>
  <c r="F30" i="6" s="1"/>
  <c r="E9" i="10"/>
  <c r="F9" i="10" s="1"/>
  <c r="E150" i="9"/>
  <c r="F150" i="9" s="1"/>
  <c r="E51" i="6"/>
  <c r="F51" i="6" s="1"/>
  <c r="E130" i="10"/>
  <c r="F130" i="10" s="1"/>
  <c r="E187" i="10"/>
  <c r="F187" i="10" s="1"/>
  <c r="E229" i="10"/>
  <c r="F229" i="10" s="1"/>
  <c r="E133" i="10"/>
  <c r="F133" i="10" s="1"/>
  <c r="E118" i="10"/>
  <c r="F118" i="10" s="1"/>
  <c r="E96" i="10"/>
  <c r="F96" i="10" s="1"/>
  <c r="E44" i="10"/>
  <c r="F44" i="10" s="1"/>
  <c r="E45" i="15"/>
  <c r="F45" i="15" s="1"/>
  <c r="E234" i="10"/>
  <c r="F234" i="10" s="1"/>
  <c r="E27" i="15"/>
  <c r="F27" i="15" s="1"/>
  <c r="E29" i="10"/>
  <c r="F29" i="10" s="1"/>
  <c r="E89" i="9"/>
  <c r="F89" i="9" s="1"/>
  <c r="E235" i="15"/>
  <c r="F235" i="15" s="1"/>
  <c r="E112" i="15"/>
  <c r="F112" i="15" s="1"/>
  <c r="E152" i="9"/>
  <c r="F152" i="9" s="1"/>
  <c r="E109" i="10"/>
  <c r="F109" i="10" s="1"/>
  <c r="E52" i="10"/>
  <c r="F52" i="10" s="1"/>
  <c r="E232" i="10"/>
  <c r="F232" i="10" s="1"/>
  <c r="E44" i="9"/>
  <c r="F44" i="9" s="1"/>
  <c r="E119" i="10"/>
  <c r="F119" i="10" s="1"/>
  <c r="E19" i="10"/>
  <c r="F19" i="10" s="1"/>
  <c r="E193" i="6"/>
  <c r="F193" i="6" s="1"/>
  <c r="E32" i="6"/>
  <c r="F32" i="6" s="1"/>
  <c r="E62" i="6"/>
  <c r="F62" i="6" s="1"/>
  <c r="E46" i="9"/>
  <c r="F46" i="9" s="1"/>
  <c r="E56" i="10"/>
  <c r="F56" i="10" s="1"/>
  <c r="E206" i="6"/>
  <c r="F206" i="6" s="1"/>
  <c r="E178" i="10"/>
  <c r="F178" i="10" s="1"/>
  <c r="E237" i="10"/>
  <c r="F237" i="10" s="1"/>
  <c r="E144" i="10"/>
  <c r="F144" i="10" s="1"/>
  <c r="E187" i="6"/>
  <c r="F187" i="6" s="1"/>
  <c r="E54" i="6"/>
  <c r="F54" i="6" s="1"/>
  <c r="E61" i="6"/>
  <c r="F61" i="6" s="1"/>
  <c r="E52" i="9"/>
  <c r="F52" i="9" s="1"/>
  <c r="E111" i="6"/>
  <c r="F111" i="6" s="1"/>
  <c r="E133" i="6"/>
  <c r="F133" i="6" s="1"/>
  <c r="E24" i="6"/>
  <c r="F24" i="6" s="1"/>
  <c r="E219" i="10"/>
  <c r="F219" i="10" s="1"/>
  <c r="E80" i="6"/>
  <c r="F80" i="6" s="1"/>
  <c r="E42" i="10"/>
  <c r="F42" i="10" s="1"/>
  <c r="E127" i="6"/>
  <c r="F127" i="6" s="1"/>
  <c r="E134" i="6"/>
  <c r="F134" i="6" s="1"/>
  <c r="E183" i="6"/>
  <c r="F183" i="6" s="1"/>
  <c r="E189" i="6"/>
  <c r="F189" i="6" s="1"/>
  <c r="E56" i="9"/>
  <c r="F56" i="9" s="1"/>
  <c r="E35" i="9"/>
  <c r="F35" i="9" s="1"/>
  <c r="E143" i="9"/>
  <c r="F143" i="9" s="1"/>
  <c r="E65" i="9"/>
  <c r="F65" i="9" s="1"/>
  <c r="E69" i="9"/>
  <c r="F69" i="9" s="1"/>
  <c r="E29" i="9"/>
  <c r="F29" i="9" s="1"/>
  <c r="E129" i="9"/>
  <c r="F129" i="9" s="1"/>
  <c r="E2" i="9"/>
  <c r="F2" i="9" s="1"/>
  <c r="E223" i="9"/>
  <c r="F223" i="9" s="1"/>
  <c r="E140" i="9"/>
  <c r="F140" i="9" s="1"/>
  <c r="E180" i="9"/>
  <c r="F180" i="9" s="1"/>
  <c r="E102" i="9"/>
  <c r="F102" i="9" s="1"/>
  <c r="E113" i="9"/>
  <c r="F113" i="9" s="1"/>
  <c r="E209" i="9"/>
  <c r="F209" i="9" s="1"/>
  <c r="E67" i="10"/>
  <c r="F67" i="10" s="1"/>
  <c r="E81" i="9"/>
  <c r="F81" i="9" s="1"/>
  <c r="E152" i="10"/>
  <c r="F152" i="10" s="1"/>
  <c r="E79" i="10"/>
  <c r="F79" i="10" s="1"/>
  <c r="E6" i="10"/>
  <c r="F6" i="10" s="1"/>
  <c r="E203" i="6"/>
  <c r="F203" i="6" s="1"/>
  <c r="E108" i="6"/>
  <c r="F108" i="6" s="1"/>
  <c r="E63" i="9"/>
  <c r="F63" i="9" s="1"/>
  <c r="E32" i="9"/>
  <c r="F32" i="9" s="1"/>
  <c r="E177" i="9"/>
  <c r="F177" i="9" s="1"/>
  <c r="E135" i="9"/>
  <c r="F135" i="9" s="1"/>
  <c r="E115" i="6"/>
  <c r="F115" i="6" s="1"/>
  <c r="E26" i="9"/>
  <c r="F26" i="9" s="1"/>
  <c r="E237" i="6"/>
  <c r="F237" i="6" s="1"/>
  <c r="E233" i="10"/>
  <c r="F233" i="10" s="1"/>
  <c r="E210" i="6"/>
  <c r="F210" i="6" s="1"/>
  <c r="E222" i="9"/>
  <c r="F222" i="9" s="1"/>
  <c r="E59" i="6"/>
  <c r="F59" i="6" s="1"/>
  <c r="E70" i="6"/>
  <c r="F70" i="6" s="1"/>
  <c r="E184" i="9"/>
  <c r="F184" i="9" s="1"/>
  <c r="E114" i="9"/>
  <c r="F114" i="9" s="1"/>
  <c r="E30" i="9"/>
  <c r="F30" i="9" s="1"/>
  <c r="E49" i="6"/>
  <c r="F49" i="6" s="1"/>
  <c r="E132" i="9"/>
  <c r="F132" i="9" s="1"/>
  <c r="E115" i="9"/>
  <c r="F115" i="9" s="1"/>
  <c r="E41" i="9"/>
  <c r="F41" i="9" s="1"/>
  <c r="E186" i="9"/>
  <c r="F186" i="9" s="1"/>
  <c r="E71" i="9"/>
  <c r="F71" i="9" s="1"/>
  <c r="E136" i="9"/>
  <c r="F136" i="9" s="1"/>
  <c r="E149" i="9"/>
  <c r="F149" i="9" s="1"/>
  <c r="E219" i="9"/>
  <c r="F219" i="9" s="1"/>
  <c r="E72" i="9"/>
  <c r="F72" i="9" s="1"/>
  <c r="E134" i="9"/>
  <c r="F134" i="9" s="1"/>
  <c r="E24" i="9"/>
  <c r="F24" i="9" s="1"/>
  <c r="E103" i="9"/>
  <c r="F103" i="9" s="1"/>
  <c r="E169" i="9"/>
  <c r="F169" i="9" s="1"/>
  <c r="E183" i="9"/>
  <c r="F183" i="9" s="1"/>
  <c r="E208" i="9"/>
  <c r="F208" i="9" s="1"/>
  <c r="E172" i="9"/>
  <c r="F172" i="9" s="1"/>
  <c r="E127" i="9"/>
  <c r="F127" i="9" s="1"/>
  <c r="E118" i="9"/>
  <c r="F118" i="9" s="1"/>
  <c r="E111" i="9"/>
  <c r="F111" i="9" s="1"/>
  <c r="E201" i="9"/>
  <c r="F201" i="9" s="1"/>
  <c r="E227" i="9"/>
  <c r="F227" i="9" s="1"/>
  <c r="E88" i="9"/>
  <c r="F88" i="9" s="1"/>
  <c r="E207" i="9"/>
  <c r="F207" i="9" s="1"/>
  <c r="E59" i="9"/>
  <c r="F59" i="9" s="1"/>
  <c r="E70" i="9"/>
  <c r="F70" i="9" s="1"/>
  <c r="E174" i="9"/>
  <c r="F174" i="9" s="1"/>
  <c r="E146" i="9"/>
  <c r="F146" i="9" s="1"/>
  <c r="E156" i="9"/>
  <c r="F156" i="9" s="1"/>
  <c r="E11" i="9"/>
  <c r="F11" i="9" s="1"/>
  <c r="E182" i="9"/>
  <c r="F182" i="9" s="1"/>
  <c r="E216" i="9"/>
  <c r="F216" i="9" s="1"/>
  <c r="E157" i="9"/>
  <c r="F157" i="9" s="1"/>
  <c r="E109" i="9"/>
  <c r="F109" i="9" s="1"/>
  <c r="E31" i="9"/>
  <c r="F31" i="9" s="1"/>
  <c r="E39" i="9"/>
  <c r="F39" i="9" s="1"/>
  <c r="E193" i="9"/>
  <c r="F193" i="9" s="1"/>
  <c r="E194" i="6"/>
  <c r="F194" i="6" s="1"/>
  <c r="E58" i="10"/>
  <c r="F58" i="10" s="1"/>
  <c r="E15" i="6"/>
  <c r="F15" i="6" s="1"/>
  <c r="E6" i="15"/>
  <c r="F6" i="15" s="1"/>
  <c r="E22" i="9"/>
  <c r="F22" i="9" s="1"/>
  <c r="E12" i="9"/>
  <c r="F12" i="9" s="1"/>
  <c r="E197" i="9"/>
  <c r="F197" i="9" s="1"/>
  <c r="E164" i="9"/>
  <c r="F164" i="9" s="1"/>
  <c r="E98" i="9"/>
  <c r="F98" i="9" s="1"/>
  <c r="E203" i="9"/>
  <c r="F203" i="9" s="1"/>
  <c r="E188" i="9"/>
  <c r="F188" i="9" s="1"/>
  <c r="E162" i="9"/>
  <c r="F162" i="9" s="1"/>
  <c r="E191" i="9"/>
  <c r="F191" i="9" s="1"/>
  <c r="E171" i="9"/>
  <c r="F171" i="9" s="1"/>
  <c r="E232" i="9"/>
  <c r="F232" i="9" s="1"/>
  <c r="E42" i="9"/>
  <c r="F42" i="9" s="1"/>
  <c r="E204" i="9"/>
  <c r="F204" i="9" s="1"/>
  <c r="E82" i="9"/>
  <c r="F82" i="9" s="1"/>
  <c r="E194" i="9"/>
  <c r="F194" i="9" s="1"/>
  <c r="E7" i="9"/>
  <c r="F7" i="9" s="1"/>
  <c r="E133" i="9"/>
  <c r="F133" i="9" s="1"/>
  <c r="E176" i="9"/>
  <c r="F176" i="9" s="1"/>
  <c r="E108" i="9"/>
  <c r="F108" i="9" s="1"/>
  <c r="E224" i="9"/>
  <c r="F224" i="9" s="1"/>
  <c r="E74" i="9"/>
  <c r="F74" i="9" s="1"/>
  <c r="E80" i="9"/>
  <c r="F80" i="9" s="1"/>
  <c r="E13" i="9"/>
  <c r="F13" i="9" s="1"/>
  <c r="E61" i="9"/>
  <c r="F61" i="9" s="1"/>
  <c r="E117" i="9"/>
  <c r="F117" i="9" s="1"/>
  <c r="E15" i="9"/>
  <c r="F15" i="9" s="1"/>
  <c r="E49" i="9"/>
  <c r="F49" i="9" s="1"/>
  <c r="E229" i="9"/>
  <c r="F229" i="9" s="1"/>
  <c r="E158" i="9"/>
  <c r="F158" i="9" s="1"/>
  <c r="E8" i="9"/>
  <c r="F8" i="9" s="1"/>
  <c r="E195" i="9"/>
  <c r="F195" i="9" s="1"/>
  <c r="E20" i="9"/>
  <c r="F20" i="9" s="1"/>
  <c r="E40" i="9"/>
  <c r="F40" i="9" s="1"/>
  <c r="E34" i="9"/>
  <c r="F34" i="9" s="1"/>
  <c r="E93" i="9"/>
  <c r="F93" i="9" s="1"/>
  <c r="E235" i="9"/>
  <c r="F235" i="9" s="1"/>
  <c r="E163" i="9"/>
  <c r="F163" i="9" s="1"/>
  <c r="E33" i="9"/>
  <c r="F33" i="9" s="1"/>
  <c r="E108" i="10"/>
  <c r="F108" i="10" s="1"/>
  <c r="E225" i="9"/>
  <c r="F225" i="9" s="1"/>
  <c r="E181" i="10"/>
  <c r="F181" i="10" s="1"/>
  <c r="E185" i="9"/>
  <c r="F185" i="9" s="1"/>
  <c r="E67" i="6"/>
  <c r="F67" i="6" s="1"/>
  <c r="E97" i="9"/>
  <c r="F97" i="9" s="1"/>
  <c r="E179" i="9"/>
  <c r="F179" i="9" s="1"/>
  <c r="E85" i="9"/>
  <c r="F85" i="9" s="1"/>
  <c r="E217" i="6"/>
  <c r="F217" i="6" s="1"/>
  <c r="E94" i="6"/>
  <c r="F94" i="6" s="1"/>
  <c r="E192" i="9"/>
  <c r="F192" i="9" s="1"/>
  <c r="E136" i="6"/>
  <c r="F136" i="6" s="1"/>
  <c r="E68" i="9"/>
  <c r="F68" i="9" s="1"/>
  <c r="E149" i="10"/>
  <c r="F149" i="10" s="1"/>
  <c r="E59" i="10"/>
  <c r="F59" i="10" s="1"/>
  <c r="E36" i="9"/>
  <c r="F36" i="9" s="1"/>
  <c r="E137" i="10"/>
  <c r="F137" i="10" s="1"/>
  <c r="E78" i="9"/>
  <c r="F78" i="9" s="1"/>
  <c r="E14" i="9"/>
  <c r="F14" i="9" s="1"/>
  <c r="E165" i="9"/>
  <c r="F165" i="9" s="1"/>
  <c r="E213" i="9"/>
  <c r="F213" i="9" s="1"/>
  <c r="E84" i="9"/>
  <c r="F84" i="9" s="1"/>
  <c r="E168" i="9"/>
  <c r="F168" i="9" s="1"/>
  <c r="E218" i="9"/>
  <c r="F218" i="9" s="1"/>
  <c r="E104" i="9"/>
  <c r="F104" i="9" s="1"/>
  <c r="E47" i="9"/>
  <c r="F47" i="9" s="1"/>
  <c r="E86" i="9"/>
  <c r="F86" i="9" s="1"/>
  <c r="E90" i="9"/>
  <c r="F90" i="9" s="1"/>
  <c r="E198" i="9"/>
  <c r="F198" i="9" s="1"/>
  <c r="E125" i="9"/>
  <c r="F125" i="9" s="1"/>
  <c r="E155" i="9"/>
  <c r="F155" i="9" s="1"/>
  <c r="E121" i="9"/>
  <c r="F121" i="9" s="1"/>
  <c r="E87" i="9"/>
  <c r="F87" i="9" s="1"/>
  <c r="E120" i="9"/>
  <c r="F120" i="9" s="1"/>
  <c r="E154" i="9"/>
  <c r="F154" i="9" s="1"/>
  <c r="E54" i="9"/>
  <c r="F54" i="9" s="1"/>
  <c r="E230" i="9"/>
  <c r="F230" i="9" s="1"/>
  <c r="E131" i="9"/>
  <c r="F131" i="9" s="1"/>
  <c r="E170" i="9"/>
  <c r="F170" i="9" s="1"/>
  <c r="E10" i="9"/>
  <c r="F10" i="9" s="1"/>
  <c r="E138" i="9"/>
  <c r="F138" i="9" s="1"/>
  <c r="E92" i="9"/>
  <c r="F92" i="9" s="1"/>
  <c r="E175" i="9"/>
  <c r="F175" i="9" s="1"/>
  <c r="E48" i="9"/>
  <c r="F48" i="9" s="1"/>
  <c r="E5" i="9"/>
  <c r="F5" i="9" s="1"/>
  <c r="E58" i="9"/>
  <c r="F58" i="9" s="1"/>
  <c r="E215" i="9"/>
  <c r="F215" i="9" s="1"/>
  <c r="E76" i="9"/>
  <c r="F76" i="9" s="1"/>
  <c r="E160" i="9"/>
  <c r="F160" i="9" s="1"/>
  <c r="E234" i="9"/>
  <c r="F234" i="9" s="1"/>
  <c r="E18" i="9"/>
  <c r="F18" i="9" s="1"/>
  <c r="E167" i="9"/>
  <c r="F167" i="9" s="1"/>
  <c r="E178" i="9"/>
  <c r="F178" i="9" s="1"/>
  <c r="E100" i="9"/>
  <c r="F100" i="9" s="1"/>
  <c r="E181" i="9"/>
  <c r="F181" i="9" s="1"/>
  <c r="E53" i="9"/>
  <c r="F53" i="9" s="1"/>
  <c r="E43" i="9"/>
  <c r="F43" i="9" s="1"/>
  <c r="E51" i="9"/>
  <c r="F51" i="9" s="1"/>
  <c r="E210" i="9"/>
  <c r="F210" i="9" s="1"/>
  <c r="E233" i="9"/>
  <c r="F233" i="9" s="1"/>
  <c r="E101" i="9"/>
  <c r="F101" i="9" s="1"/>
  <c r="E60" i="9"/>
  <c r="F60" i="9" s="1"/>
  <c r="E226" i="9"/>
  <c r="F226" i="9" s="1"/>
  <c r="E187" i="9"/>
  <c r="F187" i="9" s="1"/>
  <c r="E211" i="9"/>
  <c r="F211" i="9" s="1"/>
  <c r="E27" i="9"/>
  <c r="F27" i="9" s="1"/>
  <c r="E100" i="10"/>
  <c r="F100" i="10" s="1"/>
  <c r="E192" i="10"/>
  <c r="F192" i="10" s="1"/>
  <c r="E72" i="6"/>
  <c r="F72" i="6" s="1"/>
  <c r="E228" i="9"/>
  <c r="F228" i="9" s="1"/>
  <c r="E16" i="9"/>
  <c r="F16" i="9" s="1"/>
  <c r="E217" i="9"/>
  <c r="F217" i="9" s="1"/>
  <c r="E35" i="10"/>
  <c r="F35" i="10" s="1"/>
  <c r="E65" i="10"/>
  <c r="F65" i="10" s="1"/>
  <c r="E69" i="10"/>
  <c r="F69" i="10" s="1"/>
  <c r="E221" i="9"/>
  <c r="F221" i="9" s="1"/>
  <c r="E153" i="9"/>
  <c r="F153" i="9" s="1"/>
  <c r="E64" i="10"/>
  <c r="F64" i="10" s="1"/>
  <c r="E21" i="9"/>
  <c r="F21" i="9" s="1"/>
  <c r="E199" i="9"/>
  <c r="F199" i="9" s="1"/>
  <c r="E190" i="6"/>
  <c r="F190" i="6" s="1"/>
  <c r="E60" i="6"/>
  <c r="F60" i="6" s="1"/>
  <c r="E55" i="9"/>
  <c r="F55" i="9" s="1"/>
  <c r="E60" i="10"/>
  <c r="F60" i="10" s="1"/>
  <c r="E89" i="6"/>
  <c r="F89" i="6" s="1"/>
  <c r="E66" i="9"/>
  <c r="F66" i="9" s="1"/>
  <c r="E130" i="9"/>
  <c r="F130" i="9" s="1"/>
  <c r="E196" i="9"/>
  <c r="F196" i="9" s="1"/>
  <c r="E78" i="6"/>
  <c r="F78" i="6" s="1"/>
  <c r="E11" i="6"/>
  <c r="F11" i="6" s="1"/>
  <c r="E126" i="9"/>
  <c r="F126" i="9" s="1"/>
  <c r="E50" i="9"/>
  <c r="F50" i="9" s="1"/>
  <c r="E37" i="10"/>
  <c r="F37" i="10" s="1"/>
  <c r="E151" i="9"/>
  <c r="F151" i="9" s="1"/>
  <c r="E13" i="6"/>
  <c r="F13" i="6" s="1"/>
  <c r="E122" i="10"/>
  <c r="F122" i="10" s="1"/>
  <c r="E122" i="9"/>
  <c r="F122" i="9" s="1"/>
  <c r="E12" i="10"/>
  <c r="F12" i="10" s="1"/>
  <c r="E158" i="6"/>
  <c r="F158" i="6" s="1"/>
  <c r="E99" i="6"/>
  <c r="F99" i="6" s="1"/>
  <c r="E85" i="6"/>
  <c r="F85" i="6" s="1"/>
  <c r="E237" i="9"/>
  <c r="F237" i="9" s="1"/>
  <c r="E137" i="9"/>
  <c r="F137" i="9" s="1"/>
  <c r="E222" i="6"/>
  <c r="F222" i="6" s="1"/>
  <c r="E94" i="9"/>
  <c r="F94" i="9" s="1"/>
  <c r="E58" i="6"/>
  <c r="F58" i="6" s="1"/>
  <c r="E200" i="9"/>
  <c r="F200" i="9" s="1"/>
  <c r="E45" i="9"/>
  <c r="F45" i="9" s="1"/>
  <c r="E220" i="9"/>
  <c r="F220" i="9" s="1"/>
  <c r="E3" i="9"/>
  <c r="F3" i="9" s="1"/>
  <c r="E231" i="9"/>
  <c r="F231" i="9" s="1"/>
  <c r="E98" i="10"/>
  <c r="F98" i="10" s="1"/>
  <c r="E159" i="6"/>
  <c r="F159" i="6" s="1"/>
  <c r="E189" i="9"/>
  <c r="F189" i="9" s="1"/>
  <c r="E105" i="9"/>
  <c r="F105" i="9" s="1"/>
  <c r="E184" i="6"/>
  <c r="F184" i="6" s="1"/>
  <c r="E22" i="6"/>
  <c r="F22" i="6" s="1"/>
  <c r="E189" i="10"/>
  <c r="F189" i="10" s="1"/>
  <c r="E71" i="6"/>
  <c r="F71" i="6" s="1"/>
  <c r="E121" i="10"/>
  <c r="F121" i="10" s="1"/>
  <c r="E26" i="6"/>
  <c r="F26" i="6" s="1"/>
  <c r="E181" i="6"/>
  <c r="F181" i="6" s="1"/>
  <c r="E136" i="10"/>
  <c r="F136" i="10" s="1"/>
  <c r="E31" i="6"/>
  <c r="F31" i="6" s="1"/>
  <c r="E171" i="10"/>
  <c r="F171" i="10" s="1"/>
  <c r="E202" i="9"/>
  <c r="F202" i="9" s="1"/>
  <c r="E5" i="10"/>
  <c r="F5" i="10" s="1"/>
  <c r="E76" i="10"/>
  <c r="F76" i="10" s="1"/>
  <c r="E205" i="6"/>
  <c r="F205" i="6" s="1"/>
  <c r="E83" i="6"/>
  <c r="F83" i="6" s="1"/>
  <c r="E209" i="10"/>
  <c r="F209" i="10" s="1"/>
  <c r="E223" i="10"/>
  <c r="F223" i="10" s="1"/>
  <c r="E29" i="6"/>
  <c r="F29" i="6" s="1"/>
  <c r="E209" i="6"/>
  <c r="F209" i="6" s="1"/>
  <c r="E44" i="6"/>
  <c r="F44" i="6" s="1"/>
  <c r="E135" i="6"/>
  <c r="F135" i="6" s="1"/>
  <c r="E94" i="10"/>
  <c r="F94" i="10" s="1"/>
  <c r="E195" i="10"/>
  <c r="F195" i="10" s="1"/>
  <c r="E179" i="6"/>
  <c r="F179" i="6" s="1"/>
  <c r="E64" i="6"/>
  <c r="F64" i="6" s="1"/>
  <c r="E36" i="6"/>
  <c r="F36" i="6" s="1"/>
  <c r="E82" i="10"/>
  <c r="F82" i="10" s="1"/>
  <c r="E114" i="6"/>
  <c r="F114" i="6" s="1"/>
  <c r="E4" i="10"/>
  <c r="F4" i="10" s="1"/>
  <c r="E125" i="6"/>
  <c r="F125" i="6" s="1"/>
  <c r="E222" i="10"/>
  <c r="F222" i="10" s="1"/>
  <c r="E22" i="10"/>
  <c r="F22" i="10" s="1"/>
  <c r="E30" i="10"/>
  <c r="F30" i="10" s="1"/>
  <c r="E199" i="6"/>
  <c r="F199" i="6" s="1"/>
  <c r="E65" i="6"/>
  <c r="F65" i="6" s="1"/>
  <c r="E63" i="6"/>
  <c r="F63" i="6" s="1"/>
  <c r="E38" i="6"/>
  <c r="F38" i="6" s="1"/>
  <c r="E90" i="10"/>
  <c r="F90" i="10" s="1"/>
  <c r="E3" i="6"/>
  <c r="F3" i="6" s="1"/>
  <c r="E206" i="10"/>
  <c r="F206" i="10" s="1"/>
  <c r="E4" i="6"/>
  <c r="F4" i="6" s="1"/>
  <c r="E164" i="6"/>
  <c r="F164" i="6" s="1"/>
  <c r="E116" i="10"/>
  <c r="F116" i="10" s="1"/>
  <c r="E41" i="6"/>
  <c r="F41" i="6" s="1"/>
  <c r="E185" i="10"/>
  <c r="F185" i="10" s="1"/>
  <c r="E84" i="10"/>
  <c r="F84" i="10" s="1"/>
  <c r="E14" i="6"/>
  <c r="F14" i="6" s="1"/>
  <c r="E163" i="6"/>
  <c r="F163" i="6" s="1"/>
  <c r="E81" i="6"/>
  <c r="F81" i="6" s="1"/>
  <c r="E90" i="6"/>
  <c r="F90" i="6" s="1"/>
  <c r="E188" i="6"/>
  <c r="F188" i="6" s="1"/>
  <c r="E219" i="6"/>
  <c r="F219" i="6" s="1"/>
  <c r="E178" i="6"/>
  <c r="F178" i="6" s="1"/>
  <c r="E27" i="6"/>
  <c r="F27" i="6" s="1"/>
  <c r="E132" i="6"/>
  <c r="F132" i="6" s="1"/>
  <c r="E96" i="9"/>
  <c r="F96" i="9" s="1"/>
  <c r="E24" i="10"/>
  <c r="F24" i="10" s="1"/>
  <c r="E123" i="9"/>
  <c r="F123" i="9" s="1"/>
  <c r="E148" i="9"/>
  <c r="F148" i="9" s="1"/>
  <c r="E126" i="10"/>
  <c r="F126" i="10" s="1"/>
  <c r="E176" i="6"/>
  <c r="F176" i="6" s="1"/>
  <c r="E109" i="6"/>
  <c r="F109" i="6" s="1"/>
  <c r="E57" i="6"/>
  <c r="F57" i="6" s="1"/>
  <c r="E147" i="9"/>
  <c r="F147" i="9" s="1"/>
  <c r="E23" i="9"/>
  <c r="F23" i="9" s="1"/>
  <c r="E196" i="6"/>
  <c r="F196" i="6" s="1"/>
  <c r="E52" i="6"/>
  <c r="F52" i="6" s="1"/>
  <c r="E95" i="9"/>
  <c r="F95" i="9" s="1"/>
  <c r="E167" i="10"/>
  <c r="F167" i="10" s="1"/>
  <c r="E149" i="6"/>
  <c r="F149" i="6" s="1"/>
  <c r="E83" i="9"/>
  <c r="F83" i="9" s="1"/>
  <c r="E12" i="6"/>
  <c r="F12" i="6" s="1"/>
  <c r="E185" i="6"/>
  <c r="F185" i="6" s="1"/>
  <c r="E2" i="10"/>
  <c r="F2" i="10" s="1"/>
  <c r="E187" i="11"/>
  <c r="F187" i="11" s="1"/>
  <c r="E223" i="6"/>
  <c r="F223" i="6" s="1"/>
  <c r="E76" i="6"/>
  <c r="F76" i="6" s="1"/>
  <c r="E6" i="6"/>
  <c r="F6" i="6" s="1"/>
  <c r="E174" i="10"/>
  <c r="F174" i="10" s="1"/>
  <c r="E212" i="9"/>
  <c r="F212" i="9" s="1"/>
  <c r="E92" i="6"/>
  <c r="F92" i="6" s="1"/>
  <c r="E151" i="6"/>
  <c r="F151" i="6" s="1"/>
  <c r="E221" i="10"/>
  <c r="F221" i="10" s="1"/>
  <c r="E142" i="6"/>
  <c r="F142" i="6" s="1"/>
  <c r="E5" i="6"/>
  <c r="F5" i="6" s="1"/>
  <c r="E154" i="6"/>
  <c r="F154" i="6" s="1"/>
  <c r="E171" i="6"/>
  <c r="F171" i="6" s="1"/>
  <c r="E57" i="9"/>
  <c r="F57" i="9" s="1"/>
  <c r="E24" i="4"/>
  <c r="F24" i="4" s="1"/>
  <c r="E224" i="5"/>
  <c r="F224" i="5" s="1"/>
  <c r="E41" i="1"/>
  <c r="F41" i="1" s="1"/>
  <c r="E64" i="9"/>
  <c r="F64" i="9" s="1"/>
  <c r="E173" i="9"/>
  <c r="F173" i="9" s="1"/>
  <c r="E99" i="9"/>
  <c r="F99" i="9" s="1"/>
  <c r="E11" i="10"/>
  <c r="F11" i="10" s="1"/>
  <c r="E119" i="9"/>
  <c r="F119" i="9" s="1"/>
  <c r="E38" i="10"/>
  <c r="F38" i="10" s="1"/>
  <c r="E141" i="9"/>
  <c r="F141" i="9" s="1"/>
  <c r="E37" i="9"/>
  <c r="F37" i="9" s="1"/>
  <c r="E170" i="10"/>
  <c r="F170" i="10" s="1"/>
  <c r="E167" i="6"/>
  <c r="F167" i="6" s="1"/>
  <c r="E205" i="9"/>
  <c r="F205" i="9" s="1"/>
  <c r="E8" i="6"/>
  <c r="F8" i="6" s="1"/>
  <c r="E122" i="6"/>
  <c r="F122" i="6" s="1"/>
  <c r="E27" i="10"/>
  <c r="F27" i="10" s="1"/>
  <c r="E128" i="9"/>
  <c r="F128" i="9" s="1"/>
  <c r="E106" i="9"/>
  <c r="F106" i="9" s="1"/>
  <c r="E157" i="6"/>
  <c r="F157" i="6" s="1"/>
  <c r="E23" i="6"/>
  <c r="F23" i="6" s="1"/>
  <c r="E191" i="10"/>
  <c r="F191" i="10" s="1"/>
  <c r="E120" i="6"/>
  <c r="F120" i="6" s="1"/>
  <c r="E33" i="6"/>
  <c r="F33" i="6" s="1"/>
  <c r="E141" i="6"/>
  <c r="F141" i="6" s="1"/>
  <c r="E119" i="6"/>
  <c r="F119" i="6" s="1"/>
  <c r="E221" i="6"/>
  <c r="F221" i="6" s="1"/>
  <c r="E16" i="6"/>
  <c r="F16" i="6" s="1"/>
  <c r="E87" i="6"/>
  <c r="F87" i="6" s="1"/>
  <c r="E25" i="9"/>
  <c r="F25" i="9" s="1"/>
  <c r="E130" i="6"/>
  <c r="F130" i="6" s="1"/>
  <c r="E214" i="9"/>
  <c r="F214" i="9" s="1"/>
  <c r="E2" i="6"/>
  <c r="F2" i="6" s="1"/>
  <c r="E226" i="10"/>
  <c r="F226" i="10" s="1"/>
  <c r="E21" i="6"/>
  <c r="F21" i="6" s="1"/>
  <c r="E12" i="1"/>
  <c r="F12" i="1" s="1"/>
  <c r="E123" i="11"/>
  <c r="F123" i="11" s="1"/>
  <c r="E85" i="1"/>
  <c r="F85" i="1" s="1"/>
  <c r="E55" i="1"/>
  <c r="F55" i="1" s="1"/>
  <c r="E142" i="4"/>
  <c r="F142" i="4" s="1"/>
  <c r="E26" i="4"/>
  <c r="F26" i="4" s="1"/>
  <c r="E222" i="4"/>
  <c r="F222" i="4" s="1"/>
  <c r="E81" i="4"/>
  <c r="F81" i="4" s="1"/>
  <c r="E217" i="4"/>
  <c r="F217" i="4" s="1"/>
  <c r="E56" i="4"/>
  <c r="F56" i="4" s="1"/>
  <c r="E185" i="4"/>
  <c r="F185" i="4" s="1"/>
  <c r="E184" i="4"/>
  <c r="F184" i="4" s="1"/>
  <c r="E33" i="4"/>
  <c r="F33" i="4" s="1"/>
  <c r="E187" i="4"/>
  <c r="F187" i="4" s="1"/>
  <c r="E115" i="4"/>
  <c r="F115" i="4" s="1"/>
  <c r="E107" i="4"/>
  <c r="F107" i="4" s="1"/>
  <c r="E218" i="4"/>
  <c r="F218" i="4" s="1"/>
  <c r="E75" i="4"/>
  <c r="F75" i="4" s="1"/>
  <c r="E182" i="4"/>
  <c r="F182" i="4" s="1"/>
  <c r="E197" i="4"/>
  <c r="F197" i="4" s="1"/>
  <c r="E171" i="4"/>
  <c r="F171" i="4" s="1"/>
  <c r="E63" i="4"/>
  <c r="F63" i="4" s="1"/>
  <c r="E18" i="4"/>
  <c r="F18" i="4" s="1"/>
  <c r="E146" i="4"/>
  <c r="F146" i="4" s="1"/>
  <c r="E212" i="4"/>
  <c r="F212" i="4" s="1"/>
  <c r="E42" i="4"/>
  <c r="F42" i="4" s="1"/>
  <c r="E105" i="4"/>
  <c r="F105" i="4" s="1"/>
  <c r="E195" i="4"/>
  <c r="F195" i="4" s="1"/>
  <c r="E234" i="1"/>
  <c r="F234" i="1" s="1"/>
  <c r="E38" i="4"/>
  <c r="F38" i="4" s="1"/>
  <c r="E91" i="5"/>
  <c r="F91" i="5" s="1"/>
  <c r="E71" i="5"/>
  <c r="F71" i="5" s="1"/>
  <c r="E77" i="5"/>
  <c r="F77" i="5" s="1"/>
  <c r="E15" i="5"/>
  <c r="F15" i="5" s="1"/>
  <c r="E48" i="6"/>
  <c r="F48" i="6" s="1"/>
  <c r="E160" i="6"/>
  <c r="F160" i="6" s="1"/>
  <c r="E35" i="6"/>
  <c r="F35" i="6" s="1"/>
  <c r="E152" i="6"/>
  <c r="F152" i="6" s="1"/>
  <c r="E95" i="10"/>
  <c r="F95" i="10" s="1"/>
  <c r="E42" i="6"/>
  <c r="F42" i="6" s="1"/>
  <c r="E17" i="6"/>
  <c r="F17" i="6" s="1"/>
  <c r="E166" i="6"/>
  <c r="F166" i="6" s="1"/>
  <c r="E161" i="9"/>
  <c r="F161" i="9" s="1"/>
  <c r="E166" i="9"/>
  <c r="F166" i="9" s="1"/>
  <c r="E9" i="6"/>
  <c r="F9" i="6" s="1"/>
  <c r="E103" i="6"/>
  <c r="F103" i="6" s="1"/>
  <c r="E228" i="6"/>
  <c r="F228" i="6" s="1"/>
  <c r="E38" i="9"/>
  <c r="F38" i="9" s="1"/>
  <c r="E25" i="6"/>
  <c r="F25" i="6" s="1"/>
  <c r="E162" i="1"/>
  <c r="F162" i="1" s="1"/>
  <c r="E213" i="5"/>
  <c r="F213" i="5" s="1"/>
  <c r="E76" i="4"/>
  <c r="F76" i="4" s="1"/>
  <c r="E28" i="4"/>
  <c r="F28" i="4" s="1"/>
  <c r="E22" i="5"/>
  <c r="F22" i="5" s="1"/>
  <c r="E179" i="5"/>
  <c r="F179" i="5" s="1"/>
  <c r="E15" i="1"/>
  <c r="F15" i="1" s="1"/>
  <c r="E64" i="1"/>
  <c r="F64" i="1" s="1"/>
  <c r="E205" i="5"/>
  <c r="F205" i="5" s="1"/>
  <c r="E62" i="4"/>
  <c r="F62" i="4" s="1"/>
  <c r="E134" i="5"/>
  <c r="F134" i="5" s="1"/>
  <c r="E25" i="1"/>
  <c r="F25" i="1" s="1"/>
  <c r="E231" i="5"/>
  <c r="F231" i="5" s="1"/>
  <c r="E164" i="10"/>
  <c r="F164" i="10" s="1"/>
  <c r="E93" i="6"/>
  <c r="F93" i="6" s="1"/>
  <c r="E166" i="10"/>
  <c r="F166" i="10" s="1"/>
  <c r="E101" i="6"/>
  <c r="F101" i="6" s="1"/>
  <c r="E75" i="9"/>
  <c r="F75" i="9" s="1"/>
  <c r="E234" i="6"/>
  <c r="F234" i="6" s="1"/>
  <c r="E235" i="6"/>
  <c r="F235" i="6" s="1"/>
  <c r="E153" i="10"/>
  <c r="F153" i="10" s="1"/>
  <c r="E91" i="11"/>
  <c r="F91" i="11" s="1"/>
  <c r="E45" i="4"/>
  <c r="F45" i="4" s="1"/>
  <c r="E237" i="4"/>
  <c r="F237" i="4" s="1"/>
  <c r="E137" i="4"/>
  <c r="F137" i="4" s="1"/>
  <c r="E139" i="4"/>
  <c r="F139" i="4" s="1"/>
  <c r="E84" i="4"/>
  <c r="F84" i="4" s="1"/>
  <c r="E122" i="4"/>
  <c r="F122" i="4" s="1"/>
  <c r="E220" i="1"/>
  <c r="F220" i="1" s="1"/>
  <c r="E61" i="5"/>
  <c r="F61" i="5" s="1"/>
  <c r="E154" i="4"/>
  <c r="F154" i="4" s="1"/>
  <c r="E129" i="5"/>
  <c r="F129" i="5" s="1"/>
  <c r="E138" i="1"/>
  <c r="F138" i="1" s="1"/>
  <c r="E2" i="4"/>
  <c r="F2" i="4" s="1"/>
  <c r="E21" i="4"/>
  <c r="F21" i="4" s="1"/>
  <c r="E161" i="4"/>
  <c r="F161" i="4" s="1"/>
  <c r="E152" i="4"/>
  <c r="F152" i="4" s="1"/>
  <c r="E99" i="4"/>
  <c r="F99" i="4" s="1"/>
  <c r="E77" i="4"/>
  <c r="F77" i="4" s="1"/>
  <c r="E39" i="4"/>
  <c r="F39" i="4" s="1"/>
  <c r="E132" i="4"/>
  <c r="F132" i="4" s="1"/>
  <c r="E112" i="4"/>
  <c r="F112" i="4" s="1"/>
  <c r="E16" i="4"/>
  <c r="F16" i="4" s="1"/>
  <c r="E238" i="4"/>
  <c r="F238" i="4" s="1"/>
  <c r="E209" i="4"/>
  <c r="F209" i="4" s="1"/>
  <c r="E8" i="4"/>
  <c r="F8" i="4" s="1"/>
  <c r="E202" i="4"/>
  <c r="F202" i="4" s="1"/>
  <c r="E213" i="4"/>
  <c r="F213" i="4" s="1"/>
  <c r="E231" i="4"/>
  <c r="F231" i="4" s="1"/>
  <c r="E15" i="4"/>
  <c r="F15" i="4" s="1"/>
  <c r="E133" i="4"/>
  <c r="F133" i="4" s="1"/>
  <c r="E35" i="4"/>
  <c r="F35" i="4" s="1"/>
  <c r="E123" i="4"/>
  <c r="F123" i="4" s="1"/>
  <c r="E204" i="4"/>
  <c r="F204" i="4" s="1"/>
  <c r="E199" i="4"/>
  <c r="F199" i="4" s="1"/>
  <c r="E87" i="4"/>
  <c r="F87" i="4" s="1"/>
  <c r="E144" i="4"/>
  <c r="F144" i="4" s="1"/>
  <c r="E31" i="4"/>
  <c r="F31" i="4" s="1"/>
  <c r="E134" i="4"/>
  <c r="F134" i="4" s="1"/>
  <c r="E189" i="1"/>
  <c r="F189" i="1" s="1"/>
  <c r="E92" i="5"/>
  <c r="F92" i="5" s="1"/>
  <c r="E59" i="5"/>
  <c r="F59" i="5" s="1"/>
  <c r="E40" i="5"/>
  <c r="F40" i="5" s="1"/>
  <c r="E42" i="1"/>
  <c r="F42" i="1" s="1"/>
  <c r="E28" i="6"/>
  <c r="F28" i="6" s="1"/>
  <c r="E158" i="10"/>
  <c r="F158" i="10" s="1"/>
  <c r="E3" i="10"/>
  <c r="F3" i="10" s="1"/>
  <c r="E100" i="6"/>
  <c r="F100" i="6" s="1"/>
  <c r="E157" i="10"/>
  <c r="F157" i="10" s="1"/>
  <c r="E211" i="10"/>
  <c r="F211" i="10" s="1"/>
  <c r="E207" i="6"/>
  <c r="F207" i="6" s="1"/>
  <c r="E47" i="6"/>
  <c r="F47" i="6" s="1"/>
  <c r="E25" i="10"/>
  <c r="F25" i="10" s="1"/>
  <c r="E71" i="10"/>
  <c r="F71" i="10" s="1"/>
  <c r="E62" i="9"/>
  <c r="F62" i="9" s="1"/>
  <c r="E139" i="6"/>
  <c r="F139" i="6" s="1"/>
  <c r="E40" i="6"/>
  <c r="F40" i="6" s="1"/>
  <c r="E73" i="6"/>
  <c r="F73" i="6" s="1"/>
  <c r="E139" i="9"/>
  <c r="F139" i="9" s="1"/>
  <c r="E142" i="9"/>
  <c r="F142" i="9" s="1"/>
  <c r="E123" i="1"/>
  <c r="F123" i="1" s="1"/>
  <c r="E183" i="4"/>
  <c r="F183" i="4" s="1"/>
  <c r="E211" i="4"/>
  <c r="F211" i="4" s="1"/>
  <c r="E169" i="1"/>
  <c r="F169" i="1" s="1"/>
  <c r="E177" i="4"/>
  <c r="F177" i="4" s="1"/>
  <c r="E119" i="1"/>
  <c r="F119" i="1" s="1"/>
  <c r="E168" i="4"/>
  <c r="F168" i="4" s="1"/>
  <c r="E134" i="1"/>
  <c r="F134" i="1" s="1"/>
  <c r="E85" i="4"/>
  <c r="F85" i="4" s="1"/>
  <c r="E117" i="4"/>
  <c r="F117" i="4" s="1"/>
  <c r="E136" i="4"/>
  <c r="F136" i="4" s="1"/>
  <c r="E70" i="4"/>
  <c r="F70" i="4" s="1"/>
  <c r="E151" i="4"/>
  <c r="F151" i="4" s="1"/>
  <c r="E140" i="4"/>
  <c r="F140" i="4" s="1"/>
  <c r="E173" i="4"/>
  <c r="F173" i="4" s="1"/>
  <c r="E110" i="4"/>
  <c r="F110" i="4" s="1"/>
  <c r="E22" i="4"/>
  <c r="F22" i="4" s="1"/>
  <c r="E120" i="4"/>
  <c r="F120" i="4" s="1"/>
  <c r="E102" i="4"/>
  <c r="F102" i="4" s="1"/>
  <c r="E23" i="4"/>
  <c r="F23" i="4" s="1"/>
  <c r="E3" i="4"/>
  <c r="F3" i="4" s="1"/>
  <c r="E126" i="4"/>
  <c r="F126" i="4" s="1"/>
  <c r="E169" i="4"/>
  <c r="F169" i="4" s="1"/>
  <c r="E78" i="4"/>
  <c r="F78" i="4" s="1"/>
  <c r="E44" i="4"/>
  <c r="F44" i="4" s="1"/>
  <c r="E58" i="4"/>
  <c r="F58" i="4" s="1"/>
  <c r="E114" i="4"/>
  <c r="F114" i="4" s="1"/>
  <c r="E98" i="4"/>
  <c r="F98" i="4" s="1"/>
  <c r="E165" i="4"/>
  <c r="F165" i="4" s="1"/>
  <c r="E175" i="4"/>
  <c r="F175" i="4" s="1"/>
  <c r="E131" i="4"/>
  <c r="F131" i="4" s="1"/>
  <c r="E103" i="4"/>
  <c r="F103" i="4" s="1"/>
  <c r="E43" i="4"/>
  <c r="F43" i="4" s="1"/>
  <c r="E79" i="4"/>
  <c r="F79" i="4" s="1"/>
  <c r="E9" i="4"/>
  <c r="F9" i="4" s="1"/>
  <c r="E162" i="4"/>
  <c r="F162" i="4" s="1"/>
  <c r="E67" i="4"/>
  <c r="F67" i="4" s="1"/>
  <c r="E109" i="4"/>
  <c r="F109" i="4" s="1"/>
  <c r="E25" i="4"/>
  <c r="F25" i="4" s="1"/>
  <c r="E138" i="4"/>
  <c r="F138" i="4" s="1"/>
  <c r="E158" i="4"/>
  <c r="F158" i="4" s="1"/>
  <c r="E201" i="4"/>
  <c r="F201" i="4" s="1"/>
  <c r="E193" i="4"/>
  <c r="F193" i="4" s="1"/>
  <c r="E203" i="4"/>
  <c r="F203" i="4" s="1"/>
  <c r="E108" i="4"/>
  <c r="F108" i="4" s="1"/>
  <c r="E159" i="4"/>
  <c r="F159" i="4" s="1"/>
  <c r="E160" i="4"/>
  <c r="F160" i="4" s="1"/>
  <c r="E155" i="4"/>
  <c r="F155" i="4" s="1"/>
  <c r="E223" i="4"/>
  <c r="F223" i="4" s="1"/>
  <c r="E227" i="4"/>
  <c r="F227" i="4" s="1"/>
  <c r="E101" i="4"/>
  <c r="F101" i="4" s="1"/>
  <c r="E92" i="4"/>
  <c r="F92" i="4" s="1"/>
  <c r="E6" i="4"/>
  <c r="F6" i="4" s="1"/>
  <c r="E229" i="4"/>
  <c r="F229" i="4" s="1"/>
  <c r="E51" i="4"/>
  <c r="F51" i="4" s="1"/>
  <c r="E121" i="4"/>
  <c r="F121" i="4" s="1"/>
  <c r="E220" i="5"/>
  <c r="F220" i="5" s="1"/>
  <c r="E168" i="5"/>
  <c r="F168" i="5" s="1"/>
  <c r="E147" i="5"/>
  <c r="F147" i="5" s="1"/>
  <c r="E28" i="5"/>
  <c r="F28" i="5" s="1"/>
  <c r="E52" i="5"/>
  <c r="F52" i="5" s="1"/>
  <c r="E49" i="5"/>
  <c r="F49" i="5" s="1"/>
  <c r="E54" i="5"/>
  <c r="F54" i="5" s="1"/>
  <c r="E113" i="5"/>
  <c r="F113" i="5" s="1"/>
  <c r="E186" i="5"/>
  <c r="F186" i="5" s="1"/>
  <c r="E108" i="5"/>
  <c r="F108" i="5" s="1"/>
  <c r="E120" i="5"/>
  <c r="F120" i="5" s="1"/>
  <c r="E124" i="5"/>
  <c r="F124" i="5" s="1"/>
  <c r="E23" i="5"/>
  <c r="F23" i="5" s="1"/>
  <c r="E33" i="5"/>
  <c r="F33" i="5" s="1"/>
  <c r="E209" i="5"/>
  <c r="F209" i="5" s="1"/>
  <c r="E183" i="5"/>
  <c r="F183" i="5" s="1"/>
  <c r="E90" i="5"/>
  <c r="F90" i="5" s="1"/>
  <c r="E214" i="5"/>
  <c r="F214" i="5" s="1"/>
  <c r="E233" i="5"/>
  <c r="F233" i="5" s="1"/>
  <c r="E195" i="5"/>
  <c r="F195" i="5" s="1"/>
  <c r="E85" i="5"/>
  <c r="F85" i="5" s="1"/>
  <c r="E110" i="5"/>
  <c r="F110" i="5" s="1"/>
  <c r="E232" i="5"/>
  <c r="F232" i="5" s="1"/>
  <c r="E184" i="5"/>
  <c r="F184" i="5" s="1"/>
  <c r="E100" i="5"/>
  <c r="F100" i="5" s="1"/>
  <c r="E82" i="5"/>
  <c r="F82" i="5" s="1"/>
  <c r="E112" i="5"/>
  <c r="F112" i="5" s="1"/>
  <c r="E192" i="5"/>
  <c r="F192" i="5" s="1"/>
  <c r="E84" i="5"/>
  <c r="F84" i="5" s="1"/>
  <c r="E206" i="5"/>
  <c r="F206" i="5" s="1"/>
  <c r="E6" i="5"/>
  <c r="F6" i="5" s="1"/>
  <c r="E173" i="5"/>
  <c r="F173" i="5" s="1"/>
  <c r="E152" i="5"/>
  <c r="F152" i="5" s="1"/>
  <c r="E225" i="5"/>
  <c r="F225" i="5" s="1"/>
  <c r="E187" i="5"/>
  <c r="F187" i="5" s="1"/>
  <c r="E156" i="5"/>
  <c r="F156" i="5" s="1"/>
  <c r="E217" i="5"/>
  <c r="F217" i="5" s="1"/>
  <c r="E87" i="5"/>
  <c r="F87" i="5" s="1"/>
  <c r="E75" i="5"/>
  <c r="F75" i="5" s="1"/>
  <c r="E16" i="5"/>
  <c r="F16" i="5" s="1"/>
  <c r="E167" i="5"/>
  <c r="F167" i="5" s="1"/>
  <c r="E132" i="5"/>
  <c r="F132" i="5" s="1"/>
  <c r="E18" i="5"/>
  <c r="F18" i="5" s="1"/>
  <c r="E181" i="5"/>
  <c r="F181" i="5" s="1"/>
  <c r="E174" i="5"/>
  <c r="F174" i="5" s="1"/>
  <c r="E66" i="5"/>
  <c r="F66" i="5" s="1"/>
  <c r="E4" i="5"/>
  <c r="F4" i="5" s="1"/>
  <c r="E14" i="5"/>
  <c r="F14" i="5" s="1"/>
  <c r="E81" i="5"/>
  <c r="F81" i="5" s="1"/>
  <c r="E191" i="5"/>
  <c r="F191" i="5" s="1"/>
  <c r="E144" i="5"/>
  <c r="F144" i="5" s="1"/>
  <c r="E63" i="5"/>
  <c r="F63" i="5" s="1"/>
  <c r="E73" i="5"/>
  <c r="F73" i="5" s="1"/>
  <c r="E226" i="5"/>
  <c r="F226" i="5" s="1"/>
  <c r="E26" i="5"/>
  <c r="F26" i="5" s="1"/>
  <c r="E141" i="5"/>
  <c r="F141" i="5" s="1"/>
  <c r="E142" i="5"/>
  <c r="F142" i="5" s="1"/>
  <c r="E83" i="5"/>
  <c r="F83" i="5" s="1"/>
  <c r="E155" i="5"/>
  <c r="F155" i="5" s="1"/>
  <c r="E150" i="5"/>
  <c r="F150" i="5" s="1"/>
  <c r="E162" i="5"/>
  <c r="F162" i="5" s="1"/>
  <c r="E13" i="5"/>
  <c r="F13" i="5" s="1"/>
  <c r="E185" i="5"/>
  <c r="F185" i="5" s="1"/>
  <c r="E128" i="5"/>
  <c r="F128" i="5" s="1"/>
  <c r="E32" i="5"/>
  <c r="F32" i="5" s="1"/>
  <c r="E151" i="5"/>
  <c r="F151" i="5" s="1"/>
  <c r="E160" i="5"/>
  <c r="F160" i="5" s="1"/>
  <c r="E3" i="5"/>
  <c r="F3" i="5" s="1"/>
  <c r="E34" i="5"/>
  <c r="F34" i="5" s="1"/>
  <c r="E165" i="5"/>
  <c r="F165" i="5" s="1"/>
  <c r="E57" i="5"/>
  <c r="F57" i="5" s="1"/>
  <c r="E202" i="5"/>
  <c r="F202" i="5" s="1"/>
  <c r="E146" i="5"/>
  <c r="F146" i="5" s="1"/>
  <c r="E219" i="5"/>
  <c r="F219" i="5" s="1"/>
  <c r="E163" i="5"/>
  <c r="F163" i="5" s="1"/>
  <c r="E80" i="5"/>
  <c r="F80" i="5" s="1"/>
  <c r="E20" i="5"/>
  <c r="F20" i="5" s="1"/>
  <c r="E177" i="5"/>
  <c r="F177" i="5" s="1"/>
  <c r="E172" i="5"/>
  <c r="F172" i="5" s="1"/>
  <c r="E221" i="5"/>
  <c r="F221" i="5" s="1"/>
  <c r="E45" i="5"/>
  <c r="F45" i="5" s="1"/>
  <c r="E42" i="5"/>
  <c r="F42" i="5" s="1"/>
  <c r="E127" i="5"/>
  <c r="F127" i="5" s="1"/>
  <c r="E190" i="5"/>
  <c r="F190" i="5" s="1"/>
  <c r="E139" i="5"/>
  <c r="F139" i="5" s="1"/>
  <c r="E194" i="5"/>
  <c r="F194" i="5" s="1"/>
  <c r="E46" i="5"/>
  <c r="F46" i="5" s="1"/>
  <c r="E169" i="5"/>
  <c r="F169" i="5" s="1"/>
  <c r="E67" i="5"/>
  <c r="F67" i="5" s="1"/>
  <c r="E35" i="5"/>
  <c r="F35" i="5" s="1"/>
  <c r="E222" i="5"/>
  <c r="F222" i="5" s="1"/>
  <c r="E48" i="5"/>
  <c r="F48" i="5" s="1"/>
  <c r="E135" i="5"/>
  <c r="F135" i="5" s="1"/>
  <c r="E94" i="5"/>
  <c r="F94" i="5" s="1"/>
  <c r="E50" i="5"/>
  <c r="F50" i="5" s="1"/>
  <c r="E149" i="5"/>
  <c r="F149" i="5" s="1"/>
  <c r="E29" i="5"/>
  <c r="F29" i="5" s="1"/>
  <c r="E176" i="5"/>
  <c r="F176" i="5" s="1"/>
  <c r="E47" i="5"/>
  <c r="F47" i="5" s="1"/>
  <c r="E79" i="5"/>
  <c r="F79" i="5" s="1"/>
  <c r="E145" i="5"/>
  <c r="F145" i="5" s="1"/>
  <c r="E182" i="5"/>
  <c r="F182" i="5" s="1"/>
  <c r="E189" i="5"/>
  <c r="F189" i="5" s="1"/>
  <c r="E17" i="5"/>
  <c r="F17" i="5" s="1"/>
  <c r="E70" i="5"/>
  <c r="F70" i="5" s="1"/>
  <c r="E95" i="5"/>
  <c r="F95" i="5" s="1"/>
  <c r="E208" i="5"/>
  <c r="F208" i="5" s="1"/>
  <c r="E109" i="5"/>
  <c r="F109" i="5" s="1"/>
  <c r="E196" i="5"/>
  <c r="F196" i="5" s="1"/>
  <c r="E215" i="5"/>
  <c r="F215" i="5" s="1"/>
  <c r="E60" i="5"/>
  <c r="F60" i="5" s="1"/>
  <c r="E153" i="5"/>
  <c r="F153" i="5" s="1"/>
  <c r="E158" i="5"/>
  <c r="F158" i="5" s="1"/>
  <c r="E199" i="5"/>
  <c r="F199" i="5" s="1"/>
  <c r="E62" i="5"/>
  <c r="F62" i="5" s="1"/>
  <c r="E121" i="5"/>
  <c r="F121" i="5" s="1"/>
  <c r="E166" i="5"/>
  <c r="F166" i="5" s="1"/>
  <c r="E114" i="5"/>
  <c r="F114" i="5" s="1"/>
  <c r="E218" i="5"/>
  <c r="F218" i="5" s="1"/>
  <c r="E64" i="5"/>
  <c r="F64" i="5" s="1"/>
  <c r="E133" i="5"/>
  <c r="F133" i="5" s="1"/>
  <c r="E98" i="5"/>
  <c r="F98" i="5" s="1"/>
  <c r="E140" i="5"/>
  <c r="F140" i="5" s="1"/>
  <c r="E236" i="5"/>
  <c r="F236" i="5" s="1"/>
  <c r="E117" i="5"/>
  <c r="F117" i="5" s="1"/>
  <c r="E101" i="5"/>
  <c r="F101" i="5" s="1"/>
  <c r="E8" i="5"/>
  <c r="F8" i="5" s="1"/>
  <c r="E131" i="5"/>
  <c r="F131" i="5" s="1"/>
  <c r="E204" i="5"/>
  <c r="F204" i="5" s="1"/>
  <c r="E175" i="5"/>
  <c r="F175" i="5" s="1"/>
  <c r="E116" i="5"/>
  <c r="F116" i="5" s="1"/>
  <c r="E19" i="5"/>
  <c r="F19" i="5" s="1"/>
  <c r="E86" i="5"/>
  <c r="F86" i="5" s="1"/>
  <c r="E69" i="5"/>
  <c r="F69" i="5" s="1"/>
  <c r="E228" i="5"/>
  <c r="F228" i="5" s="1"/>
  <c r="E212" i="5"/>
  <c r="F212" i="5" s="1"/>
  <c r="E93" i="5"/>
  <c r="F93" i="5" s="1"/>
  <c r="E137" i="5"/>
  <c r="F137" i="5" s="1"/>
  <c r="E229" i="5"/>
  <c r="F229" i="5" s="1"/>
  <c r="E76" i="5"/>
  <c r="F76" i="5" s="1"/>
  <c r="E105" i="5"/>
  <c r="F105" i="5" s="1"/>
  <c r="E200" i="5"/>
  <c r="F200" i="5" s="1"/>
  <c r="E78" i="5"/>
  <c r="F78" i="5" s="1"/>
  <c r="E119" i="5"/>
  <c r="F119" i="5" s="1"/>
  <c r="E136" i="5"/>
  <c r="F136" i="5" s="1"/>
  <c r="E207" i="5"/>
  <c r="F207" i="5" s="1"/>
  <c r="E106" i="5"/>
  <c r="F106" i="5" s="1"/>
  <c r="E118" i="5"/>
  <c r="F118" i="5" s="1"/>
  <c r="E115" i="5"/>
  <c r="F115" i="5" s="1"/>
  <c r="E170" i="5"/>
  <c r="F170" i="5" s="1"/>
  <c r="E24" i="5"/>
  <c r="F24" i="5" s="1"/>
  <c r="E159" i="5"/>
  <c r="F159" i="5" s="1"/>
  <c r="E148" i="5"/>
  <c r="F148" i="5" s="1"/>
  <c r="E41" i="5"/>
  <c r="F41" i="5" s="1"/>
  <c r="E65" i="5"/>
  <c r="F65" i="5" s="1"/>
  <c r="E223" i="5"/>
  <c r="F223" i="5" s="1"/>
  <c r="E216" i="5"/>
  <c r="F216" i="5" s="1"/>
  <c r="E74" i="5"/>
  <c r="F74" i="5" s="1"/>
  <c r="E123" i="5"/>
  <c r="F123" i="5" s="1"/>
  <c r="E102" i="5"/>
  <c r="F102" i="5" s="1"/>
  <c r="E237" i="5"/>
  <c r="F237" i="5" s="1"/>
  <c r="E31" i="5"/>
  <c r="F31" i="5" s="1"/>
  <c r="E89" i="5"/>
  <c r="F89" i="5" s="1"/>
  <c r="E122" i="5"/>
  <c r="F122" i="5" s="1"/>
  <c r="E210" i="5"/>
  <c r="F210" i="5" s="1"/>
  <c r="E39" i="5"/>
  <c r="F39" i="5" s="1"/>
  <c r="E103" i="5"/>
  <c r="F103" i="5" s="1"/>
  <c r="E164" i="5"/>
  <c r="F164" i="5" s="1"/>
  <c r="E138" i="5"/>
  <c r="F138" i="5" s="1"/>
  <c r="E177" i="1"/>
  <c r="F177" i="1" s="1"/>
  <c r="E43" i="1"/>
  <c r="F43" i="1" s="1"/>
  <c r="E80" i="1"/>
  <c r="F80" i="1" s="1"/>
  <c r="E45" i="1"/>
  <c r="F45" i="1" s="1"/>
  <c r="E172" i="1"/>
  <c r="F172" i="1" s="1"/>
  <c r="E94" i="1"/>
  <c r="F94" i="1" s="1"/>
  <c r="E237" i="1"/>
  <c r="F237" i="1" s="1"/>
  <c r="E90" i="1"/>
  <c r="F90" i="1" s="1"/>
  <c r="E194" i="1"/>
  <c r="F194" i="1" s="1"/>
  <c r="E59" i="1"/>
  <c r="F59" i="1" s="1"/>
  <c r="E149" i="1"/>
  <c r="F149" i="1" s="1"/>
  <c r="E137" i="1"/>
  <c r="F137" i="1" s="1"/>
  <c r="E214" i="1"/>
  <c r="F214" i="1" s="1"/>
  <c r="E130" i="1"/>
  <c r="F130" i="1" s="1"/>
  <c r="E60" i="1"/>
  <c r="F60" i="1" s="1"/>
  <c r="E24" i="1"/>
  <c r="F24" i="1" s="1"/>
  <c r="E198" i="1"/>
  <c r="F198" i="1" s="1"/>
  <c r="E2" i="1"/>
  <c r="F2" i="1" s="1"/>
  <c r="E153" i="1"/>
  <c r="F153" i="1" s="1"/>
  <c r="E165" i="1"/>
  <c r="F165" i="1" s="1"/>
  <c r="E168" i="1"/>
  <c r="F168" i="1" s="1"/>
  <c r="E46" i="1"/>
  <c r="F46" i="1" s="1"/>
  <c r="E184" i="1"/>
  <c r="F184" i="1" s="1"/>
  <c r="E178" i="1"/>
  <c r="F178" i="1" s="1"/>
  <c r="E4" i="1"/>
  <c r="F4" i="1" s="1"/>
  <c r="E16" i="1"/>
  <c r="F16" i="1" s="1"/>
  <c r="E173" i="1"/>
  <c r="F173" i="1" s="1"/>
  <c r="E98" i="1"/>
  <c r="F98" i="1" s="1"/>
  <c r="E124" i="1"/>
  <c r="F124" i="1" s="1"/>
  <c r="E152" i="1"/>
  <c r="F152" i="1" s="1"/>
  <c r="E8" i="1"/>
  <c r="F8" i="1" s="1"/>
  <c r="E108" i="1"/>
  <c r="F108" i="1" s="1"/>
  <c r="E99" i="1"/>
  <c r="F99" i="1" s="1"/>
  <c r="E120" i="1"/>
  <c r="F120" i="1" s="1"/>
  <c r="E29" i="1"/>
  <c r="F29" i="1" s="1"/>
  <c r="E13" i="1"/>
  <c r="F13" i="1" s="1"/>
  <c r="E117" i="1"/>
  <c r="F117" i="1" s="1"/>
  <c r="E224" i="1"/>
  <c r="F224" i="1" s="1"/>
  <c r="E146" i="1"/>
  <c r="F146" i="1" s="1"/>
  <c r="E28" i="1"/>
  <c r="F28" i="1" s="1"/>
  <c r="E181" i="1"/>
  <c r="F181" i="1" s="1"/>
  <c r="E97" i="1"/>
  <c r="F97" i="1" s="1"/>
  <c r="E66" i="1"/>
  <c r="F66" i="1" s="1"/>
  <c r="E188" i="1"/>
  <c r="F188" i="1" s="1"/>
  <c r="E193" i="1"/>
  <c r="F193" i="1" s="1"/>
  <c r="E217" i="1"/>
  <c r="F217" i="1" s="1"/>
  <c r="E57" i="1"/>
  <c r="F57" i="1" s="1"/>
  <c r="E110" i="1"/>
  <c r="F110" i="1" s="1"/>
  <c r="E35" i="1"/>
  <c r="F35" i="1" s="1"/>
  <c r="E33" i="1"/>
  <c r="F33" i="1" s="1"/>
  <c r="E202" i="1"/>
  <c r="F202" i="1" s="1"/>
  <c r="E87" i="1"/>
  <c r="F87" i="1" s="1"/>
  <c r="E77" i="1"/>
  <c r="F77" i="1" s="1"/>
  <c r="E151" i="1"/>
  <c r="F151" i="1" s="1"/>
  <c r="E114" i="1"/>
  <c r="F114" i="1" s="1"/>
  <c r="E92" i="1"/>
  <c r="F92" i="1" s="1"/>
  <c r="E88" i="1"/>
  <c r="F88" i="1" s="1"/>
  <c r="E233" i="1"/>
  <c r="F233" i="1" s="1"/>
  <c r="E34" i="1"/>
  <c r="F34" i="1" s="1"/>
  <c r="E143" i="1"/>
  <c r="F143" i="1" s="1"/>
  <c r="E145" i="1"/>
  <c r="F145" i="1" s="1"/>
  <c r="E6" i="1"/>
  <c r="F6" i="1" s="1"/>
  <c r="E115" i="1"/>
  <c r="F115" i="1" s="1"/>
  <c r="E175" i="1"/>
  <c r="F175" i="1" s="1"/>
  <c r="E109" i="1"/>
  <c r="F109" i="1" s="1"/>
  <c r="E132" i="1"/>
  <c r="F132" i="1" s="1"/>
  <c r="E3" i="1"/>
  <c r="F3" i="1" s="1"/>
  <c r="E52" i="1"/>
  <c r="F52" i="1" s="1"/>
  <c r="E48" i="1"/>
  <c r="F48" i="1" s="1"/>
  <c r="E82" i="1"/>
  <c r="F82" i="1" s="1"/>
  <c r="E156" i="1"/>
  <c r="F156" i="1" s="1"/>
  <c r="E71" i="1"/>
  <c r="F71" i="1" s="1"/>
  <c r="E155" i="1"/>
  <c r="F155" i="1" s="1"/>
  <c r="E232" i="1"/>
  <c r="F232" i="1" s="1"/>
  <c r="E210" i="1"/>
  <c r="F210" i="1" s="1"/>
  <c r="E10" i="1"/>
  <c r="F10" i="1" s="1"/>
  <c r="E103" i="1"/>
  <c r="F103" i="1" s="1"/>
  <c r="E122" i="1"/>
  <c r="F122" i="1" s="1"/>
  <c r="E78" i="1"/>
  <c r="F78" i="1" s="1"/>
  <c r="E14" i="1"/>
  <c r="F14" i="1" s="1"/>
  <c r="E62" i="1"/>
  <c r="F62" i="1" s="1"/>
  <c r="E171" i="1"/>
  <c r="F171" i="1" s="1"/>
  <c r="E63" i="1"/>
  <c r="F63" i="1" s="1"/>
  <c r="E163" i="1"/>
  <c r="F163" i="1" s="1"/>
  <c r="E95" i="1"/>
  <c r="F95" i="1" s="1"/>
  <c r="E144" i="1"/>
  <c r="F144" i="1" s="1"/>
  <c r="E50" i="1"/>
  <c r="F50" i="1" s="1"/>
  <c r="E79" i="1"/>
  <c r="F79" i="1" s="1"/>
  <c r="E236" i="1"/>
  <c r="F236" i="1" s="1"/>
  <c r="E91" i="1"/>
  <c r="F91" i="1" s="1"/>
  <c r="E61" i="1"/>
  <c r="F61" i="1" s="1"/>
  <c r="E196" i="1"/>
  <c r="F196" i="1" s="1"/>
  <c r="E23" i="1"/>
  <c r="F23" i="1" s="1"/>
  <c r="E226" i="1"/>
  <c r="F226" i="1" s="1"/>
  <c r="E40" i="1"/>
  <c r="F40" i="1" s="1"/>
  <c r="E127" i="1"/>
  <c r="F127" i="1" s="1"/>
  <c r="E89" i="1"/>
  <c r="F89" i="1" s="1"/>
  <c r="E158" i="1"/>
  <c r="F158" i="1" s="1"/>
  <c r="E182" i="1"/>
  <c r="F182" i="1" s="1"/>
  <c r="E203" i="1"/>
  <c r="F203" i="1" s="1"/>
  <c r="E75" i="1"/>
  <c r="F75" i="1" s="1"/>
  <c r="E207" i="1"/>
  <c r="F207" i="1" s="1"/>
  <c r="E187" i="1"/>
  <c r="F187" i="1" s="1"/>
  <c r="E37" i="1"/>
  <c r="F37" i="1" s="1"/>
  <c r="E195" i="1"/>
  <c r="F195" i="1" s="1"/>
  <c r="E18" i="1"/>
  <c r="F18" i="1" s="1"/>
  <c r="E27" i="1"/>
  <c r="F27" i="1" s="1"/>
  <c r="E228" i="1"/>
  <c r="F228" i="1" s="1"/>
  <c r="E73" i="1"/>
  <c r="F73" i="1" s="1"/>
  <c r="E65" i="1"/>
  <c r="F65" i="1" s="1"/>
  <c r="E236" i="9"/>
  <c r="F236" i="9" s="1"/>
  <c r="E159" i="9"/>
  <c r="F159" i="9" s="1"/>
  <c r="E107" i="9"/>
  <c r="F107" i="9" s="1"/>
  <c r="E4" i="9"/>
  <c r="F4" i="9" s="1"/>
  <c r="E95" i="12"/>
  <c r="F95" i="12" s="1"/>
  <c r="E127" i="12"/>
  <c r="F127" i="12" s="1"/>
  <c r="E118" i="12"/>
  <c r="F118" i="12" s="1"/>
  <c r="E165" i="12"/>
  <c r="F165" i="12" s="1"/>
  <c r="E37" i="12"/>
  <c r="F37" i="12" s="1"/>
  <c r="E190" i="12"/>
  <c r="F190" i="12" s="1"/>
  <c r="E93" i="12"/>
  <c r="F93" i="12" s="1"/>
  <c r="E46" i="12"/>
  <c r="F46" i="12" s="1"/>
  <c r="E204" i="12"/>
  <c r="F204" i="12" s="1"/>
  <c r="E220" i="12"/>
  <c r="F220" i="12" s="1"/>
  <c r="E23" i="12"/>
  <c r="F23" i="12" s="1"/>
  <c r="E14" i="12"/>
  <c r="F14" i="12" s="1"/>
  <c r="E31" i="12"/>
  <c r="F31" i="12" s="1"/>
  <c r="E102" i="12"/>
  <c r="F102" i="12" s="1"/>
  <c r="E32" i="12"/>
  <c r="F32" i="12" s="1"/>
  <c r="E222" i="12"/>
  <c r="F222" i="12" s="1"/>
  <c r="E16" i="12"/>
  <c r="F16" i="12" s="1"/>
  <c r="E233" i="12"/>
  <c r="F233" i="12" s="1"/>
  <c r="E137" i="12"/>
  <c r="F137" i="12" s="1"/>
  <c r="E81" i="12"/>
  <c r="F81" i="12" s="1"/>
  <c r="E209" i="12"/>
  <c r="F209" i="12" s="1"/>
  <c r="E177" i="12"/>
  <c r="F177" i="12" s="1"/>
  <c r="E85" i="12"/>
  <c r="F85" i="12" s="1"/>
  <c r="E208" i="12"/>
  <c r="F208" i="12" s="1"/>
  <c r="E60" i="12"/>
  <c r="F60" i="12" s="1"/>
  <c r="E42" i="12"/>
  <c r="F42" i="12" s="1"/>
  <c r="E147" i="12"/>
  <c r="F147" i="12" s="1"/>
  <c r="E106" i="12"/>
  <c r="F106" i="12" s="1"/>
  <c r="E141" i="12"/>
  <c r="F141" i="12" s="1"/>
  <c r="E162" i="12"/>
  <c r="F162" i="12" s="1"/>
  <c r="E219" i="12"/>
  <c r="F219" i="12" s="1"/>
  <c r="E131" i="12"/>
  <c r="F131" i="12" s="1"/>
  <c r="E202" i="12"/>
  <c r="F202" i="12" s="1"/>
  <c r="E39" i="12"/>
  <c r="F39" i="12" s="1"/>
  <c r="E58" i="12"/>
  <c r="F58" i="12" s="1"/>
  <c r="E184" i="12"/>
  <c r="F184" i="12" s="1"/>
  <c r="E229" i="12"/>
  <c r="F229" i="12" s="1"/>
  <c r="E40" i="12"/>
  <c r="F40" i="12" s="1"/>
  <c r="E77" i="12"/>
  <c r="F77" i="12" s="1"/>
  <c r="E132" i="12"/>
  <c r="F132" i="12" s="1"/>
  <c r="E149" i="12"/>
  <c r="F149" i="12" s="1"/>
  <c r="E5" i="12"/>
  <c r="F5" i="12" s="1"/>
  <c r="E160" i="12"/>
  <c r="F160" i="12" s="1"/>
  <c r="E45" i="12"/>
  <c r="F45" i="12" s="1"/>
  <c r="E53" i="12"/>
  <c r="F53" i="12" s="1"/>
  <c r="E80" i="12"/>
  <c r="F80" i="12" s="1"/>
  <c r="E98" i="12"/>
  <c r="F98" i="12" s="1"/>
  <c r="E213" i="12"/>
  <c r="F213" i="12" s="1"/>
  <c r="E161" i="12"/>
  <c r="F161" i="12" s="1"/>
  <c r="E13" i="12"/>
  <c r="F13" i="12" s="1"/>
  <c r="E157" i="4"/>
  <c r="F157" i="4" s="1"/>
  <c r="E124" i="4"/>
  <c r="F124" i="4" s="1"/>
  <c r="E226" i="4"/>
  <c r="F226" i="4" s="1"/>
  <c r="E167" i="4"/>
  <c r="F167" i="4" s="1"/>
  <c r="E93" i="4"/>
  <c r="F93" i="4" s="1"/>
  <c r="E66" i="4"/>
  <c r="F66" i="4" s="1"/>
  <c r="E150" i="4"/>
  <c r="F150" i="4" s="1"/>
  <c r="E50" i="4"/>
  <c r="F50" i="4" s="1"/>
  <c r="E53" i="5"/>
  <c r="F53" i="5" s="1"/>
  <c r="E58" i="5"/>
  <c r="F58" i="5" s="1"/>
  <c r="E9" i="5"/>
  <c r="F9" i="5" s="1"/>
  <c r="E178" i="5"/>
  <c r="F178" i="5" s="1"/>
  <c r="E55" i="5"/>
  <c r="F55" i="5" s="1"/>
  <c r="E99" i="5"/>
  <c r="F99" i="5" s="1"/>
  <c r="E126" i="5"/>
  <c r="F126" i="5" s="1"/>
  <c r="E10" i="5"/>
  <c r="F10" i="5" s="1"/>
  <c r="E104" i="5"/>
  <c r="F104" i="5" s="1"/>
  <c r="E97" i="5"/>
  <c r="F97" i="5" s="1"/>
  <c r="E203" i="5"/>
  <c r="F203" i="5" s="1"/>
  <c r="E12" i="5"/>
  <c r="F12" i="5" s="1"/>
  <c r="E5" i="5"/>
  <c r="F5" i="5" s="1"/>
  <c r="E111" i="5"/>
  <c r="F111" i="5" s="1"/>
  <c r="E130" i="5"/>
  <c r="F130" i="5" s="1"/>
  <c r="E171" i="5"/>
  <c r="F171" i="5" s="1"/>
  <c r="E37" i="5"/>
  <c r="F37" i="5" s="1"/>
  <c r="E51" i="5"/>
  <c r="F51" i="5" s="1"/>
  <c r="E238" i="5"/>
  <c r="F238" i="5" s="1"/>
  <c r="E44" i="5"/>
  <c r="F44" i="5" s="1"/>
  <c r="E36" i="5"/>
  <c r="F36" i="5" s="1"/>
  <c r="E193" i="5"/>
  <c r="F193" i="5" s="1"/>
  <c r="E25" i="5"/>
  <c r="F25" i="5" s="1"/>
  <c r="E72" i="5"/>
  <c r="F72" i="5" s="1"/>
  <c r="E88" i="5"/>
  <c r="F88" i="5" s="1"/>
  <c r="E38" i="5"/>
  <c r="F38" i="5" s="1"/>
  <c r="E161" i="5"/>
  <c r="F161" i="5" s="1"/>
  <c r="E21" i="5"/>
  <c r="F21" i="5" s="1"/>
  <c r="E68" i="5"/>
  <c r="F68" i="5" s="1"/>
  <c r="E143" i="5"/>
  <c r="F143" i="5" s="1"/>
  <c r="E27" i="5"/>
  <c r="F27" i="5" s="1"/>
  <c r="E180" i="5"/>
  <c r="F180" i="5" s="1"/>
  <c r="E227" i="5"/>
  <c r="F227" i="5" s="1"/>
  <c r="E56" i="5"/>
  <c r="F56" i="5" s="1"/>
  <c r="E157" i="5"/>
  <c r="F157" i="5" s="1"/>
  <c r="E11" i="5"/>
  <c r="F11" i="5" s="1"/>
  <c r="E188" i="5"/>
  <c r="F188" i="5" s="1"/>
  <c r="E2" i="5"/>
  <c r="F2" i="5" s="1"/>
  <c r="E211" i="5"/>
  <c r="F211" i="5" s="1"/>
  <c r="E125" i="5"/>
  <c r="F125" i="5" s="1"/>
  <c r="E7" i="5"/>
  <c r="F7" i="5" s="1"/>
  <c r="E234" i="5"/>
  <c r="F234" i="5" s="1"/>
  <c r="E30" i="5"/>
  <c r="F30" i="5" s="1"/>
  <c r="E197" i="5"/>
  <c r="F197" i="5" s="1"/>
  <c r="E107" i="5"/>
  <c r="F107" i="5" s="1"/>
  <c r="E198" i="5"/>
  <c r="F198" i="5" s="1"/>
  <c r="E235" i="5"/>
  <c r="F235" i="5" s="1"/>
  <c r="E229" i="1"/>
  <c r="F229" i="1" s="1"/>
  <c r="E157" i="1"/>
  <c r="F157" i="1" s="1"/>
  <c r="E84" i="1"/>
  <c r="F84" i="1" s="1"/>
  <c r="E160" i="1"/>
  <c r="F160" i="1" s="1"/>
  <c r="E197" i="1"/>
  <c r="F197" i="1" s="1"/>
  <c r="E222" i="1"/>
  <c r="F222" i="1" s="1"/>
  <c r="E186" i="1"/>
  <c r="F186" i="1" s="1"/>
  <c r="E213" i="1"/>
  <c r="F213" i="1" s="1"/>
  <c r="E47" i="1"/>
  <c r="F47" i="1" s="1"/>
  <c r="E201" i="1"/>
  <c r="F201" i="1" s="1"/>
  <c r="E170" i="1"/>
  <c r="F170" i="1" s="1"/>
  <c r="E166" i="1"/>
  <c r="F166" i="1" s="1"/>
  <c r="E204" i="1"/>
  <c r="F204" i="1" s="1"/>
  <c r="E26" i="1"/>
  <c r="F26" i="1" s="1"/>
  <c r="E67" i="1"/>
  <c r="F67" i="1" s="1"/>
  <c r="E191" i="1"/>
  <c r="F191" i="1" s="1"/>
  <c r="E136" i="1"/>
  <c r="F136" i="1" s="1"/>
  <c r="E183" i="1"/>
  <c r="F183" i="1" s="1"/>
  <c r="E51" i="1"/>
  <c r="F51" i="1" s="1"/>
  <c r="E19" i="1"/>
  <c r="F19" i="1" s="1"/>
  <c r="E113" i="1"/>
  <c r="F113" i="1" s="1"/>
  <c r="E161" i="1"/>
  <c r="F161" i="1" s="1"/>
  <c r="E199" i="1"/>
  <c r="F199" i="1" s="1"/>
  <c r="E147" i="1"/>
  <c r="F147" i="1" s="1"/>
  <c r="E30" i="1"/>
  <c r="F30" i="1" s="1"/>
  <c r="E86" i="1"/>
  <c r="F86" i="1" s="1"/>
  <c r="E135" i="1"/>
  <c r="F135" i="1" s="1"/>
  <c r="E70" i="1"/>
  <c r="F70" i="1" s="1"/>
  <c r="E56" i="1"/>
  <c r="F56" i="1" s="1"/>
  <c r="E176" i="1"/>
  <c r="F176" i="1" s="1"/>
  <c r="E192" i="1"/>
  <c r="F192" i="1" s="1"/>
  <c r="E21" i="1"/>
  <c r="F21" i="1" s="1"/>
  <c r="E58" i="1"/>
  <c r="F58" i="1" s="1"/>
  <c r="E104" i="1"/>
  <c r="F104" i="1" s="1"/>
  <c r="E107" i="1"/>
  <c r="F107" i="1" s="1"/>
  <c r="E106" i="1"/>
  <c r="F106" i="1" s="1"/>
  <c r="E5" i="1"/>
  <c r="F5" i="1" s="1"/>
  <c r="E54" i="1"/>
  <c r="F54" i="1" s="1"/>
  <c r="E185" i="1"/>
  <c r="F185" i="1" s="1"/>
  <c r="E69" i="1"/>
  <c r="F69" i="1" s="1"/>
  <c r="E221" i="1"/>
  <c r="F221" i="1" s="1"/>
  <c r="E17" i="1"/>
  <c r="F17" i="1" s="1"/>
  <c r="E131" i="1"/>
  <c r="F131" i="1" s="1"/>
  <c r="E141" i="1"/>
  <c r="F141" i="1" s="1"/>
  <c r="E190" i="1"/>
  <c r="F190" i="1" s="1"/>
  <c r="E49" i="1"/>
  <c r="F49" i="1" s="1"/>
  <c r="E101" i="1"/>
  <c r="F101" i="1" s="1"/>
  <c r="E167" i="1"/>
  <c r="F167" i="1" s="1"/>
  <c r="E208" i="1"/>
  <c r="F208" i="1" s="1"/>
  <c r="E225" i="1"/>
  <c r="F225" i="1" s="1"/>
  <c r="E227" i="1"/>
  <c r="F227" i="1" s="1"/>
  <c r="E218" i="1"/>
  <c r="F218" i="1" s="1"/>
  <c r="E154" i="1"/>
  <c r="F154" i="1" s="1"/>
  <c r="E112" i="1"/>
  <c r="F112" i="1" s="1"/>
  <c r="E142" i="1"/>
  <c r="F142" i="1" s="1"/>
  <c r="E74" i="1"/>
  <c r="F74" i="1" s="1"/>
  <c r="E31" i="1"/>
  <c r="F31" i="1" s="1"/>
  <c r="E126" i="1"/>
  <c r="F126" i="1" s="1"/>
  <c r="E205" i="1"/>
  <c r="F205" i="1" s="1"/>
  <c r="E209" i="1"/>
  <c r="F209" i="1" s="1"/>
  <c r="E20" i="1"/>
  <c r="F20" i="1" s="1"/>
  <c r="E118" i="1"/>
  <c r="F118" i="1" s="1"/>
  <c r="E150" i="1"/>
  <c r="F150" i="1" s="1"/>
  <c r="E72" i="1"/>
  <c r="F72" i="1" s="1"/>
  <c r="E219" i="1"/>
  <c r="F219" i="1" s="1"/>
  <c r="E231" i="1"/>
  <c r="F231" i="1" s="1"/>
  <c r="E148" i="1"/>
  <c r="F148" i="1" s="1"/>
  <c r="E206" i="1"/>
  <c r="F206" i="1" s="1"/>
  <c r="E200" i="1"/>
  <c r="F200" i="1" s="1"/>
  <c r="E81" i="1"/>
  <c r="F81" i="1" s="1"/>
  <c r="E100" i="1"/>
  <c r="F100" i="1" s="1"/>
  <c r="E230" i="1"/>
  <c r="F230" i="1" s="1"/>
  <c r="E39" i="1"/>
  <c r="F39" i="1" s="1"/>
  <c r="E22" i="1"/>
  <c r="F22" i="1" s="1"/>
  <c r="E133" i="1"/>
  <c r="F133" i="1" s="1"/>
  <c r="E215" i="1"/>
  <c r="F215" i="1" s="1"/>
  <c r="E235" i="1"/>
  <c r="F235" i="1" s="1"/>
  <c r="E105" i="1"/>
  <c r="F105" i="1" s="1"/>
  <c r="E36" i="1"/>
  <c r="F36" i="1" s="1"/>
  <c r="E129" i="1"/>
  <c r="F129" i="1" s="1"/>
  <c r="E125" i="1"/>
  <c r="F125" i="1" s="1"/>
  <c r="E211" i="1"/>
  <c r="F211" i="1" s="1"/>
  <c r="E32" i="1"/>
  <c r="F32" i="1" s="1"/>
  <c r="E96" i="1"/>
  <c r="F96" i="1" s="1"/>
  <c r="E76" i="1"/>
  <c r="F76" i="1" s="1"/>
  <c r="E102" i="1"/>
  <c r="F102" i="1" s="1"/>
  <c r="E238" i="1"/>
  <c r="F238" i="1" s="1"/>
  <c r="E111" i="1"/>
  <c r="F111" i="1" s="1"/>
  <c r="E128" i="1"/>
  <c r="F128" i="1" s="1"/>
  <c r="E53" i="1"/>
  <c r="F53" i="1" s="1"/>
  <c r="E116" i="1"/>
  <c r="F116" i="1" s="1"/>
  <c r="E212" i="1"/>
  <c r="F212" i="1" s="1"/>
  <c r="E139" i="1"/>
  <c r="F139" i="1" s="1"/>
  <c r="E159" i="1"/>
  <c r="F159" i="1" s="1"/>
  <c r="E93" i="1"/>
  <c r="F93" i="1" s="1"/>
  <c r="E164" i="1"/>
  <c r="F164" i="1" s="1"/>
  <c r="E9" i="1"/>
  <c r="F9" i="1" s="1"/>
  <c r="E216" i="1"/>
  <c r="F216" i="1" s="1"/>
  <c r="E68" i="1"/>
  <c r="F68" i="1" s="1"/>
  <c r="E7" i="1"/>
  <c r="F7" i="1" s="1"/>
  <c r="E83" i="1"/>
  <c r="F83" i="1" s="1"/>
  <c r="E44" i="1"/>
  <c r="F44" i="1" s="1"/>
  <c r="E223" i="1"/>
  <c r="F223" i="1" s="1"/>
  <c r="E174" i="1"/>
  <c r="F174" i="1" s="1"/>
  <c r="E140" i="1"/>
  <c r="F140" i="1" s="1"/>
  <c r="E11" i="1"/>
  <c r="F11" i="1" s="1"/>
  <c r="E84" i="12"/>
  <c r="F84" i="12" s="1"/>
  <c r="E29" i="12"/>
  <c r="F29" i="12" s="1"/>
  <c r="E38" i="12"/>
  <c r="F38" i="12" s="1"/>
  <c r="E17" i="12"/>
  <c r="F17" i="12" s="1"/>
  <c r="E61" i="12"/>
  <c r="F61" i="12" s="1"/>
  <c r="E218" i="12"/>
  <c r="F218" i="12" s="1"/>
  <c r="E47" i="12"/>
  <c r="F47" i="12" s="1"/>
  <c r="E67" i="12"/>
  <c r="F67" i="12" s="1"/>
  <c r="E179" i="12"/>
  <c r="F179" i="12" s="1"/>
  <c r="E164" i="12"/>
  <c r="F164" i="12" s="1"/>
  <c r="E139" i="12"/>
  <c r="F139" i="12" s="1"/>
  <c r="E107" i="12"/>
  <c r="F107" i="12" s="1"/>
  <c r="E59" i="12"/>
  <c r="F59" i="12" s="1"/>
  <c r="E206" i="12"/>
  <c r="F206" i="12" s="1"/>
  <c r="E152" i="12"/>
  <c r="F152" i="12" s="1"/>
  <c r="E140" i="12"/>
  <c r="F140" i="12" s="1"/>
  <c r="E135" i="12"/>
  <c r="F135" i="12" s="1"/>
  <c r="E25" i="12"/>
  <c r="F25" i="12" s="1"/>
  <c r="E172" i="12"/>
  <c r="F172" i="12" s="1"/>
  <c r="E116" i="12"/>
  <c r="F116" i="12" s="1"/>
  <c r="E52" i="12"/>
  <c r="F52" i="12" s="1"/>
  <c r="E8" i="12"/>
  <c r="F8" i="12" s="1"/>
  <c r="E182" i="12"/>
  <c r="F182" i="12" s="1"/>
  <c r="E231" i="12"/>
  <c r="F231" i="12" s="1"/>
  <c r="E71" i="12"/>
  <c r="F71" i="12" s="1"/>
  <c r="E83" i="12"/>
  <c r="F83" i="12" s="1"/>
  <c r="E170" i="12"/>
  <c r="F170" i="12" s="1"/>
  <c r="E230" i="12"/>
  <c r="F230" i="12" s="1"/>
  <c r="E78" i="12"/>
  <c r="F78" i="12" s="1"/>
  <c r="E49" i="12"/>
  <c r="F49" i="12" s="1"/>
  <c r="E138" i="12"/>
  <c r="F138" i="12" s="1"/>
  <c r="E227" i="12"/>
  <c r="F227" i="12" s="1"/>
  <c r="E188" i="12"/>
  <c r="F188" i="12" s="1"/>
  <c r="E70" i="12"/>
  <c r="F70" i="12" s="1"/>
  <c r="E66" i="12"/>
  <c r="F66" i="12" s="1"/>
  <c r="E201" i="12"/>
  <c r="F201" i="12" s="1"/>
  <c r="E126" i="12"/>
  <c r="F126" i="12" s="1"/>
  <c r="E22" i="12"/>
  <c r="F22" i="12" s="1"/>
  <c r="E121" i="12"/>
  <c r="F121" i="12" s="1"/>
  <c r="E34" i="12"/>
  <c r="F34" i="12" s="1"/>
  <c r="E27" i="12"/>
  <c r="F27" i="12" s="1"/>
  <c r="E207" i="12"/>
  <c r="F207" i="12" s="1"/>
  <c r="E117" i="12"/>
  <c r="F117" i="12" s="1"/>
  <c r="E89" i="12"/>
  <c r="F89" i="12" s="1"/>
  <c r="E100" i="12"/>
  <c r="F100" i="12" s="1"/>
  <c r="E123" i="12"/>
  <c r="F123" i="12" s="1"/>
  <c r="E56" i="12"/>
  <c r="F56" i="12" s="1"/>
  <c r="E148" i="12"/>
  <c r="F148" i="12" s="1"/>
  <c r="E82" i="12"/>
  <c r="F82" i="12" s="1"/>
  <c r="E94" i="12"/>
  <c r="F94" i="12" s="1"/>
  <c r="E129" i="12"/>
  <c r="F129" i="12" s="1"/>
  <c r="E144" i="12"/>
  <c r="F144" i="12" s="1"/>
  <c r="E24" i="12"/>
  <c r="F24" i="12" s="1"/>
  <c r="E20" i="12"/>
  <c r="F20" i="12" s="1"/>
  <c r="E122" i="12"/>
  <c r="F122" i="12" s="1"/>
  <c r="E158" i="12"/>
  <c r="F158" i="12" s="1"/>
  <c r="E75" i="12"/>
  <c r="F75" i="12" s="1"/>
  <c r="E36" i="12"/>
  <c r="F36" i="12" s="1"/>
  <c r="E43" i="12"/>
  <c r="F43" i="12" s="1"/>
  <c r="E193" i="12"/>
  <c r="F193" i="12" s="1"/>
  <c r="E79" i="12"/>
  <c r="F79" i="12" s="1"/>
  <c r="E3" i="12"/>
  <c r="F3" i="12" s="1"/>
  <c r="E50" i="12"/>
  <c r="F50" i="12" s="1"/>
  <c r="E11" i="12"/>
  <c r="F11" i="12" s="1"/>
  <c r="E157" i="12"/>
  <c r="F157" i="12" s="1"/>
  <c r="E88" i="12"/>
  <c r="F88" i="12" s="1"/>
  <c r="E124" i="12"/>
  <c r="F124" i="12" s="1"/>
  <c r="E65" i="12"/>
  <c r="F65" i="12" s="1"/>
  <c r="E194" i="12"/>
  <c r="F194" i="12" s="1"/>
  <c r="E48" i="12"/>
  <c r="F48" i="12" s="1"/>
  <c r="E153" i="12"/>
  <c r="F153" i="12" s="1"/>
  <c r="E21" i="12"/>
  <c r="F21" i="12" s="1"/>
  <c r="E185" i="12"/>
  <c r="F185" i="12" s="1"/>
  <c r="E178" i="12"/>
  <c r="F178" i="12" s="1"/>
  <c r="E236" i="12"/>
  <c r="F236" i="12" s="1"/>
  <c r="E143" i="12"/>
  <c r="F143" i="12" s="1"/>
  <c r="E19" i="12"/>
  <c r="F19" i="12" s="1"/>
  <c r="E221" i="12"/>
  <c r="F221" i="12" s="1"/>
  <c r="E171" i="12"/>
  <c r="F171" i="12" s="1"/>
  <c r="E33" i="12"/>
  <c r="F33" i="12" s="1"/>
  <c r="E6" i="12"/>
  <c r="F6" i="12" s="1"/>
  <c r="E136" i="12"/>
  <c r="F136" i="12" s="1"/>
  <c r="E151" i="12"/>
  <c r="F151" i="12" s="1"/>
  <c r="E76" i="12"/>
  <c r="F76" i="12" s="1"/>
  <c r="E180" i="12"/>
  <c r="F180" i="12" s="1"/>
  <c r="E101" i="12"/>
  <c r="F101" i="12" s="1"/>
  <c r="E214" i="12"/>
  <c r="F214" i="12" s="1"/>
  <c r="E130" i="12"/>
  <c r="F130" i="12" s="1"/>
  <c r="E215" i="12"/>
  <c r="F215" i="12" s="1"/>
  <c r="E73" i="12"/>
  <c r="F73" i="12" s="1"/>
  <c r="E87" i="12"/>
  <c r="F87" i="12" s="1"/>
  <c r="E225" i="12"/>
  <c r="F225" i="12" s="1"/>
  <c r="E86" i="12"/>
  <c r="F86" i="12" s="1"/>
  <c r="E238" i="12"/>
  <c r="F238" i="12" s="1"/>
  <c r="E64" i="12"/>
  <c r="F64" i="12" s="1"/>
  <c r="E55" i="12"/>
  <c r="F55" i="12" s="1"/>
  <c r="E195" i="12"/>
  <c r="F195" i="12" s="1"/>
  <c r="E212" i="12"/>
  <c r="F212" i="12" s="1"/>
  <c r="E210" i="12"/>
  <c r="F210" i="12" s="1"/>
  <c r="E74" i="12"/>
  <c r="F74" i="12" s="1"/>
  <c r="E112" i="12"/>
  <c r="F112" i="12" s="1"/>
  <c r="E2" i="12"/>
  <c r="F2" i="12" s="1"/>
  <c r="E104" i="12"/>
  <c r="F104" i="12" s="1"/>
  <c r="E12" i="12"/>
  <c r="F12" i="12" s="1"/>
  <c r="E62" i="12"/>
  <c r="F62" i="12" s="1"/>
  <c r="E200" i="12"/>
  <c r="F200" i="12" s="1"/>
  <c r="E92" i="12"/>
  <c r="F92" i="12" s="1"/>
  <c r="E155" i="12"/>
  <c r="F155" i="12" s="1"/>
  <c r="E72" i="12"/>
  <c r="F72" i="12" s="1"/>
  <c r="E189" i="12"/>
  <c r="F189" i="12" s="1"/>
  <c r="E145" i="12"/>
  <c r="F145" i="12" s="1"/>
  <c r="E54" i="12"/>
  <c r="F54" i="12" s="1"/>
  <c r="E168" i="12"/>
  <c r="F168" i="12" s="1"/>
  <c r="E35" i="12"/>
  <c r="F35" i="12" s="1"/>
  <c r="E156" i="12"/>
  <c r="F156" i="12" s="1"/>
  <c r="E57" i="12"/>
  <c r="F57" i="12" s="1"/>
  <c r="E175" i="12"/>
  <c r="F175" i="12" s="1"/>
  <c r="E196" i="12"/>
  <c r="F196" i="12" s="1"/>
  <c r="E146" i="12"/>
  <c r="F146" i="12" s="1"/>
  <c r="E30" i="12"/>
  <c r="F30" i="12" s="1"/>
  <c r="E133" i="12"/>
  <c r="F133" i="12" s="1"/>
  <c r="E44" i="12"/>
  <c r="F44" i="12" s="1"/>
  <c r="E187" i="12"/>
  <c r="F187" i="12" s="1"/>
  <c r="E108" i="12"/>
  <c r="F108" i="12" s="1"/>
  <c r="E176" i="12"/>
  <c r="F176" i="12" s="1"/>
  <c r="E224" i="12"/>
  <c r="F224" i="12" s="1"/>
  <c r="E90" i="12"/>
  <c r="F90" i="12" s="1"/>
  <c r="E119" i="12"/>
  <c r="F119" i="12" s="1"/>
  <c r="E237" i="12"/>
  <c r="F237" i="12" s="1"/>
  <c r="E163" i="12"/>
  <c r="F163" i="12" s="1"/>
  <c r="E211" i="12"/>
  <c r="F211" i="12" s="1"/>
  <c r="E97" i="12"/>
  <c r="F97" i="12" s="1"/>
  <c r="E28" i="12"/>
  <c r="F28" i="12" s="1"/>
  <c r="E203" i="12"/>
  <c r="F203" i="12" s="1"/>
  <c r="E150" i="12"/>
  <c r="F150" i="12" s="1"/>
  <c r="E234" i="12"/>
  <c r="F234" i="12" s="1"/>
  <c r="E120" i="12"/>
  <c r="F120" i="12" s="1"/>
  <c r="E69" i="12"/>
  <c r="F69" i="12" s="1"/>
  <c r="E125" i="12"/>
  <c r="F125" i="12" s="1"/>
  <c r="E4" i="12"/>
  <c r="F4" i="12" s="1"/>
  <c r="E197" i="12"/>
  <c r="F197" i="12" s="1"/>
  <c r="E96" i="12"/>
  <c r="F96" i="12" s="1"/>
  <c r="E9" i="12"/>
  <c r="F9" i="12" s="1"/>
  <c r="E41" i="12"/>
  <c r="F41" i="12" s="1"/>
  <c r="E113" i="12"/>
  <c r="F113" i="12" s="1"/>
  <c r="E217" i="12"/>
  <c r="F217" i="12" s="1"/>
  <c r="E205" i="12"/>
  <c r="F205" i="12" s="1"/>
  <c r="E15" i="12"/>
  <c r="F15" i="12" s="1"/>
  <c r="E228" i="12"/>
  <c r="F228" i="12" s="1"/>
  <c r="E10" i="12"/>
  <c r="F10" i="12" s="1"/>
  <c r="E110" i="12"/>
  <c r="F110" i="12" s="1"/>
  <c r="E235" i="12"/>
  <c r="F235" i="12" s="1"/>
  <c r="E174" i="12"/>
  <c r="F174" i="12" s="1"/>
  <c r="E105" i="12"/>
  <c r="F105" i="12" s="1"/>
  <c r="E169" i="12"/>
  <c r="F169" i="12" s="1"/>
  <c r="E198" i="12"/>
  <c r="F198" i="12" s="1"/>
  <c r="E232" i="12"/>
  <c r="F232" i="12" s="1"/>
  <c r="E114" i="12"/>
  <c r="F114" i="12" s="1"/>
  <c r="E128" i="12"/>
  <c r="F128" i="12" s="1"/>
  <c r="E68" i="12"/>
  <c r="F68" i="12" s="1"/>
  <c r="E180" i="1"/>
  <c r="F180" i="1" s="1"/>
  <c r="E167" i="12"/>
  <c r="F167" i="12" s="1"/>
  <c r="E214" i="14"/>
  <c r="F214" i="14" s="1"/>
  <c r="E53" i="14"/>
  <c r="F53" i="14" s="1"/>
  <c r="E74" i="14"/>
  <c r="F74" i="14" s="1"/>
  <c r="E186" i="14"/>
  <c r="F186" i="14" s="1"/>
  <c r="E103" i="14"/>
  <c r="F103" i="14" s="1"/>
  <c r="E159" i="14"/>
  <c r="F159" i="14" s="1"/>
  <c r="E99" i="14"/>
  <c r="F99" i="14" s="1"/>
  <c r="E138" i="14"/>
  <c r="F138" i="14" s="1"/>
  <c r="E39" i="14"/>
  <c r="F39" i="14" s="1"/>
  <c r="E94" i="14"/>
  <c r="F94" i="14" s="1"/>
  <c r="E8" i="14"/>
  <c r="F8" i="14" s="1"/>
  <c r="E122" i="14"/>
  <c r="F122" i="14" s="1"/>
  <c r="E201" i="14"/>
  <c r="F201" i="14" s="1"/>
  <c r="E209" i="14"/>
  <c r="F209" i="14" s="1"/>
  <c r="E228" i="14"/>
  <c r="F228" i="14" s="1"/>
  <c r="E44" i="14"/>
  <c r="F44" i="14" s="1"/>
  <c r="E191" i="14"/>
  <c r="F191" i="14" s="1"/>
  <c r="E125" i="14"/>
  <c r="F125" i="14" s="1"/>
  <c r="E45" i="14"/>
  <c r="F45" i="14" s="1"/>
  <c r="E118" i="14"/>
  <c r="F118" i="14" s="1"/>
  <c r="E108" i="14"/>
  <c r="F108" i="14" s="1"/>
  <c r="E179" i="14"/>
  <c r="F179" i="14" s="1"/>
  <c r="E47" i="14"/>
  <c r="F47" i="14" s="1"/>
  <c r="E112" i="14"/>
  <c r="F112" i="14" s="1"/>
  <c r="E10" i="14"/>
  <c r="F10" i="14" s="1"/>
  <c r="E115" i="14"/>
  <c r="F115" i="14" s="1"/>
  <c r="E172" i="14"/>
  <c r="F172" i="14" s="1"/>
  <c r="E43" i="14"/>
  <c r="F43" i="14" s="1"/>
  <c r="E206" i="14"/>
  <c r="F206" i="14" s="1"/>
  <c r="E60" i="14"/>
  <c r="F60" i="14" s="1"/>
  <c r="E215" i="14"/>
  <c r="F215" i="14" s="1"/>
  <c r="E58" i="14"/>
  <c r="F58" i="14" s="1"/>
  <c r="E91" i="14"/>
  <c r="F91" i="14" s="1"/>
  <c r="E177" i="14"/>
  <c r="F177" i="14" s="1"/>
  <c r="E231" i="14"/>
  <c r="F231" i="14" s="1"/>
  <c r="E176" i="14"/>
  <c r="F176" i="14" s="1"/>
  <c r="E21" i="14"/>
  <c r="F21" i="14" s="1"/>
  <c r="E110" i="14"/>
  <c r="F110" i="14" s="1"/>
  <c r="E160" i="14"/>
  <c r="F160" i="14" s="1"/>
  <c r="E187" i="14"/>
  <c r="F187" i="14" s="1"/>
  <c r="E133" i="14"/>
  <c r="F133" i="14" s="1"/>
  <c r="E129" i="14"/>
  <c r="F129" i="14" s="1"/>
  <c r="E174" i="14"/>
  <c r="F174" i="14" s="1"/>
  <c r="E90" i="14"/>
  <c r="F90" i="14" s="1"/>
  <c r="E121" i="14"/>
  <c r="F121" i="14" s="1"/>
  <c r="E202" i="14"/>
  <c r="F202" i="14" s="1"/>
  <c r="E76" i="14"/>
  <c r="F76" i="14" s="1"/>
  <c r="E2" i="14"/>
  <c r="F2" i="14" s="1"/>
  <c r="E51" i="14"/>
  <c r="F51" i="14" s="1"/>
  <c r="E31" i="14"/>
  <c r="F31" i="14" s="1"/>
  <c r="E126" i="14"/>
  <c r="F126" i="14" s="1"/>
  <c r="E145" i="14"/>
  <c r="F145" i="14" s="1"/>
  <c r="E59" i="14"/>
  <c r="F59" i="14" s="1"/>
  <c r="E213" i="14"/>
  <c r="F213" i="14" s="1"/>
  <c r="E79" i="14"/>
  <c r="F79" i="14" s="1"/>
  <c r="E169" i="14"/>
  <c r="F169" i="14" s="1"/>
  <c r="E20" i="14"/>
  <c r="F20" i="14" s="1"/>
  <c r="E101" i="14"/>
  <c r="F101" i="14" s="1"/>
  <c r="E72" i="14"/>
  <c r="F72" i="14" s="1"/>
  <c r="E154" i="14"/>
  <c r="F154" i="14" s="1"/>
  <c r="E150" i="14"/>
  <c r="F150" i="14" s="1"/>
  <c r="E218" i="14"/>
  <c r="F218" i="14" s="1"/>
  <c r="E95" i="14"/>
  <c r="F95" i="14" s="1"/>
  <c r="E180" i="14"/>
  <c r="F180" i="14" s="1"/>
  <c r="E143" i="14"/>
  <c r="F143" i="14" s="1"/>
  <c r="E4" i="14"/>
  <c r="F4" i="14" s="1"/>
  <c r="E29" i="14"/>
  <c r="F29" i="14" s="1"/>
  <c r="E111" i="14"/>
  <c r="F111" i="14" s="1"/>
  <c r="E106" i="14"/>
  <c r="F106" i="14" s="1"/>
  <c r="E57" i="14"/>
  <c r="F57" i="14" s="1"/>
  <c r="E167" i="14"/>
  <c r="F167" i="14" s="1"/>
  <c r="E92" i="14"/>
  <c r="F92" i="14" s="1"/>
  <c r="E193" i="14"/>
  <c r="F193" i="14" s="1"/>
  <c r="E35" i="14"/>
  <c r="F35" i="14" s="1"/>
  <c r="E14" i="14"/>
  <c r="F14" i="14" s="1"/>
  <c r="E142" i="14"/>
  <c r="F142" i="14" s="1"/>
  <c r="E113" i="14"/>
  <c r="F113" i="14" s="1"/>
  <c r="E151" i="14"/>
  <c r="F151" i="14" s="1"/>
  <c r="E189" i="14"/>
  <c r="F189" i="14" s="1"/>
  <c r="E34" i="14"/>
  <c r="F34" i="14" s="1"/>
  <c r="E73" i="14"/>
  <c r="F73" i="14" s="1"/>
  <c r="E68" i="14"/>
  <c r="F68" i="14" s="1"/>
  <c r="E5" i="14"/>
  <c r="F5" i="14" s="1"/>
  <c r="E120" i="14"/>
  <c r="F120" i="14" s="1"/>
  <c r="E25" i="14"/>
  <c r="F25" i="14" s="1"/>
  <c r="E97" i="14"/>
  <c r="F97" i="14" s="1"/>
  <c r="E188" i="14"/>
  <c r="F188" i="14" s="1"/>
  <c r="E30" i="14"/>
  <c r="F30" i="14" s="1"/>
  <c r="E158" i="14"/>
  <c r="F158" i="14" s="1"/>
  <c r="E81" i="14"/>
  <c r="F81" i="14" s="1"/>
  <c r="E87" i="14"/>
  <c r="F87" i="14" s="1"/>
  <c r="E173" i="14"/>
  <c r="F173" i="14" s="1"/>
  <c r="E50" i="14"/>
  <c r="F50" i="14" s="1"/>
  <c r="E41" i="14"/>
  <c r="F41" i="14" s="1"/>
  <c r="E84" i="14"/>
  <c r="F84" i="14" s="1"/>
  <c r="E131" i="14"/>
  <c r="F131" i="14" s="1"/>
  <c r="E136" i="14"/>
  <c r="F136" i="14" s="1"/>
  <c r="E182" i="14"/>
  <c r="F182" i="14" s="1"/>
  <c r="E147" i="14"/>
  <c r="F147" i="14" s="1"/>
  <c r="E233" i="14"/>
  <c r="F233" i="14" s="1"/>
  <c r="E212" i="14"/>
  <c r="F212" i="14" s="1"/>
  <c r="E149" i="14"/>
  <c r="F149" i="14" s="1"/>
  <c r="E46" i="14"/>
  <c r="F46" i="14" s="1"/>
  <c r="E32" i="14"/>
  <c r="F32" i="14" s="1"/>
  <c r="E98" i="14"/>
  <c r="F98" i="14" s="1"/>
  <c r="E132" i="14"/>
  <c r="F132" i="14" s="1"/>
  <c r="E216" i="14"/>
  <c r="F216" i="14" s="1"/>
  <c r="E204" i="14"/>
  <c r="F204" i="14" s="1"/>
  <c r="E26" i="14"/>
  <c r="F26" i="14" s="1"/>
  <c r="E170" i="14"/>
  <c r="F170" i="14" s="1"/>
  <c r="E67" i="14"/>
  <c r="F67" i="14" s="1"/>
  <c r="E12" i="14"/>
  <c r="F12" i="14" s="1"/>
  <c r="E140" i="14"/>
  <c r="F140" i="14" s="1"/>
  <c r="E117" i="14"/>
  <c r="F117" i="14" s="1"/>
  <c r="E234" i="14"/>
  <c r="F234" i="14" s="1"/>
  <c r="E62" i="14"/>
  <c r="F62" i="14" s="1"/>
  <c r="E238" i="14"/>
  <c r="F238" i="14" s="1"/>
  <c r="E17" i="14"/>
  <c r="F17" i="14" s="1"/>
  <c r="E48" i="14"/>
  <c r="F48" i="14" s="1"/>
  <c r="E13" i="14"/>
  <c r="F13" i="14" s="1"/>
  <c r="E114" i="14"/>
  <c r="F114" i="14" s="1"/>
  <c r="E223" i="14"/>
  <c r="F223" i="14" s="1"/>
  <c r="E148" i="14"/>
  <c r="F148" i="14" s="1"/>
  <c r="E217" i="14"/>
  <c r="F217" i="14" s="1"/>
  <c r="E230" i="14"/>
  <c r="F230" i="14" s="1"/>
  <c r="E183" i="14"/>
  <c r="F183" i="14" s="1"/>
  <c r="E124" i="14"/>
  <c r="F124" i="14" s="1"/>
  <c r="E75" i="14"/>
  <c r="F75" i="14" s="1"/>
  <c r="E49" i="14"/>
  <c r="F49" i="14" s="1"/>
  <c r="E77" i="14"/>
  <c r="F77" i="14" s="1"/>
  <c r="E184" i="14"/>
  <c r="F184" i="14" s="1"/>
  <c r="E86" i="14"/>
  <c r="F86" i="14" s="1"/>
  <c r="E107" i="14"/>
  <c r="F107" i="14" s="1"/>
  <c r="E42" i="14"/>
  <c r="F42" i="14" s="1"/>
  <c r="E3" i="14"/>
  <c r="F3" i="14" s="1"/>
  <c r="E196" i="14"/>
  <c r="F196" i="14" s="1"/>
  <c r="E28" i="14"/>
  <c r="F28" i="14" s="1"/>
  <c r="E156" i="14"/>
  <c r="F156" i="14" s="1"/>
  <c r="E85" i="14"/>
  <c r="F85" i="14" s="1"/>
  <c r="E198" i="14"/>
  <c r="F198" i="14" s="1"/>
  <c r="E78" i="14"/>
  <c r="F78" i="14" s="1"/>
  <c r="E207" i="14"/>
  <c r="F207" i="14" s="1"/>
  <c r="E7" i="14"/>
  <c r="F7" i="14" s="1"/>
  <c r="E96" i="14"/>
  <c r="F96" i="14" s="1"/>
  <c r="E171" i="14"/>
  <c r="F171" i="14" s="1"/>
  <c r="E162" i="14"/>
  <c r="F162" i="14" s="1"/>
  <c r="E235" i="14"/>
  <c r="F235" i="14" s="1"/>
  <c r="E226" i="14"/>
  <c r="F226" i="14" s="1"/>
  <c r="E55" i="14"/>
  <c r="F55" i="14" s="1"/>
  <c r="E157" i="14"/>
  <c r="F157" i="14" s="1"/>
  <c r="E208" i="14"/>
  <c r="F208" i="14" s="1"/>
  <c r="E175" i="14"/>
  <c r="F175" i="14" s="1"/>
  <c r="E56" i="14"/>
  <c r="F56" i="14" s="1"/>
  <c r="E222" i="14"/>
  <c r="F222" i="14" s="1"/>
  <c r="E64" i="14"/>
  <c r="F64" i="14" s="1"/>
  <c r="E224" i="14"/>
  <c r="F224" i="14" s="1"/>
  <c r="E200" i="14"/>
  <c r="F200" i="14" s="1"/>
  <c r="E15" i="14"/>
  <c r="F15" i="14" s="1"/>
  <c r="E130" i="14"/>
  <c r="F130" i="14" s="1"/>
  <c r="E137" i="14"/>
  <c r="F137" i="14" s="1"/>
  <c r="E155" i="14"/>
  <c r="F155" i="14" s="1"/>
  <c r="E36" i="14"/>
  <c r="F36" i="14" s="1"/>
  <c r="E164" i="14"/>
  <c r="F164" i="14" s="1"/>
  <c r="E69" i="14"/>
  <c r="F69" i="14" s="1"/>
  <c r="E178" i="14"/>
  <c r="F178" i="14" s="1"/>
  <c r="E88" i="14"/>
  <c r="F88" i="14" s="1"/>
  <c r="E197" i="14"/>
  <c r="F197" i="14" s="1"/>
  <c r="E195" i="14"/>
  <c r="F195" i="14" s="1"/>
  <c r="E199" i="14"/>
  <c r="F199" i="14" s="1"/>
  <c r="E163" i="14"/>
  <c r="F163" i="14" s="1"/>
  <c r="E192" i="14"/>
  <c r="F192" i="14" s="1"/>
  <c r="E38" i="14"/>
  <c r="F38" i="14" s="1"/>
  <c r="E194" i="14"/>
  <c r="F194" i="14" s="1"/>
  <c r="E80" i="14"/>
  <c r="F80" i="14" s="1"/>
  <c r="E205" i="14"/>
  <c r="F205" i="14" s="1"/>
  <c r="E211" i="14"/>
  <c r="F211" i="14" s="1"/>
  <c r="E18" i="14"/>
  <c r="F18" i="14" s="1"/>
  <c r="E146" i="14"/>
  <c r="F146" i="14" s="1"/>
  <c r="E105" i="14"/>
  <c r="F105" i="14" s="1"/>
  <c r="E27" i="14"/>
  <c r="F27" i="14" s="1"/>
  <c r="E52" i="14"/>
  <c r="F52" i="14" s="1"/>
  <c r="E221" i="14"/>
  <c r="F221" i="14" s="1"/>
  <c r="E37" i="14"/>
  <c r="F37" i="14" s="1"/>
  <c r="E119" i="14"/>
  <c r="F119" i="14" s="1"/>
  <c r="E104" i="14"/>
  <c r="F104" i="14" s="1"/>
  <c r="E181" i="14"/>
  <c r="F181" i="14" s="1"/>
  <c r="E153" i="14"/>
  <c r="F153" i="14" s="1"/>
  <c r="E127" i="14"/>
  <c r="F127" i="14" s="1"/>
  <c r="E6" i="14"/>
  <c r="F6" i="14" s="1"/>
  <c r="E11" i="14"/>
  <c r="F11" i="14" s="1"/>
  <c r="E166" i="14"/>
  <c r="F166" i="14" s="1"/>
  <c r="E89" i="14"/>
  <c r="F89" i="14" s="1"/>
  <c r="E102" i="14"/>
  <c r="F102" i="14" s="1"/>
  <c r="E134" i="14"/>
  <c r="F134" i="14" s="1"/>
  <c r="E54" i="14"/>
  <c r="F54" i="14" s="1"/>
  <c r="E65" i="14"/>
  <c r="F65" i="14" s="1"/>
  <c r="E237" i="14"/>
  <c r="F237" i="14" s="1"/>
  <c r="E225" i="14"/>
  <c r="F225" i="14" s="1"/>
  <c r="E23" i="14"/>
  <c r="F23" i="14" s="1"/>
  <c r="E128" i="14"/>
  <c r="F128" i="14" s="1"/>
  <c r="E141" i="14"/>
  <c r="F141" i="14" s="1"/>
  <c r="E232" i="14"/>
  <c r="F232" i="14" s="1"/>
  <c r="E66" i="14"/>
  <c r="F66" i="14" s="1"/>
  <c r="E236" i="14"/>
  <c r="F236" i="14" s="1"/>
  <c r="E9" i="14"/>
  <c r="F9" i="14" s="1"/>
  <c r="E135" i="14"/>
  <c r="F135" i="14" s="1"/>
  <c r="E100" i="14"/>
  <c r="F100" i="14" s="1"/>
  <c r="E185" i="14"/>
  <c r="F185" i="14" s="1"/>
  <c r="E220" i="14"/>
  <c r="F220" i="14" s="1"/>
  <c r="E24" i="14"/>
  <c r="F24" i="14" s="1"/>
  <c r="E152" i="14"/>
  <c r="F152" i="14" s="1"/>
  <c r="E93" i="14"/>
  <c r="F93" i="14" s="1"/>
  <c r="E227" i="14"/>
  <c r="F227" i="14" s="1"/>
  <c r="E63" i="14"/>
  <c r="F63" i="14" s="1"/>
  <c r="E210" i="14"/>
  <c r="F210" i="14" s="1"/>
  <c r="E33" i="14"/>
  <c r="F33" i="14" s="1"/>
  <c r="E19" i="14"/>
  <c r="F19" i="14" s="1"/>
  <c r="E16" i="14"/>
  <c r="F16" i="14" s="1"/>
  <c r="E144" i="14"/>
  <c r="F144" i="14" s="1"/>
  <c r="E109" i="14"/>
  <c r="F109" i="14" s="1"/>
  <c r="E190" i="14"/>
  <c r="F190" i="14" s="1"/>
  <c r="E82" i="14"/>
  <c r="F82" i="14" s="1"/>
  <c r="E203" i="14"/>
  <c r="F203" i="14" s="1"/>
  <c r="E83" i="14"/>
  <c r="F83" i="14" s="1"/>
  <c r="E71" i="14"/>
  <c r="F71" i="14" s="1"/>
  <c r="E116" i="14"/>
  <c r="F116" i="14" s="1"/>
  <c r="E165" i="14"/>
  <c r="F165" i="14" s="1"/>
  <c r="E123" i="14"/>
  <c r="F123" i="14" s="1"/>
  <c r="E40" i="14"/>
  <c r="F40" i="14" s="1"/>
  <c r="E168" i="14"/>
  <c r="F168" i="14" s="1"/>
  <c r="E61" i="14"/>
  <c r="F61" i="14" s="1"/>
  <c r="E219" i="14"/>
  <c r="F219" i="14" s="1"/>
  <c r="E161" i="14"/>
  <c r="F161" i="14" s="1"/>
  <c r="E22" i="14"/>
  <c r="F22" i="14" s="1"/>
  <c r="E70" i="14"/>
  <c r="F70" i="14" s="1"/>
  <c r="E139" i="14"/>
  <c r="F139" i="14" s="1"/>
  <c r="E74" i="13"/>
  <c r="F74" i="13" s="1"/>
  <c r="E77" i="13"/>
  <c r="F77" i="13" s="1"/>
  <c r="E199" i="13"/>
  <c r="F199" i="13" s="1"/>
  <c r="E48" i="13"/>
  <c r="F48" i="13" s="1"/>
  <c r="E112" i="13"/>
  <c r="F112" i="13" s="1"/>
  <c r="E54" i="13"/>
  <c r="F54" i="13" s="1"/>
  <c r="E232" i="13"/>
  <c r="F232" i="13" s="1"/>
  <c r="E85" i="13"/>
  <c r="F85" i="13" s="1"/>
  <c r="E179" i="13"/>
  <c r="F179" i="13" s="1"/>
  <c r="E2" i="13"/>
  <c r="F2" i="13" s="1"/>
  <c r="E49" i="13"/>
  <c r="F49" i="13" s="1"/>
  <c r="E196" i="13"/>
  <c r="F196" i="13" s="1"/>
  <c r="E211" i="13"/>
  <c r="F211" i="13" s="1"/>
  <c r="E31" i="13"/>
  <c r="F31" i="13" s="1"/>
  <c r="E160" i="13"/>
  <c r="F160" i="13" s="1"/>
  <c r="E218" i="13"/>
  <c r="F218" i="13" s="1"/>
  <c r="E181" i="13"/>
  <c r="F181" i="13" s="1"/>
  <c r="E132" i="13"/>
  <c r="F132" i="13" s="1"/>
  <c r="E129" i="13"/>
  <c r="F129" i="13" s="1"/>
  <c r="E15" i="13"/>
  <c r="F15" i="13" s="1"/>
  <c r="E170" i="13"/>
  <c r="F170" i="13" s="1"/>
  <c r="E180" i="13"/>
  <c r="F180" i="13" s="1"/>
  <c r="E16" i="13"/>
  <c r="F16" i="13" s="1"/>
  <c r="E137" i="13"/>
  <c r="F137" i="13" s="1"/>
  <c r="E22" i="13"/>
  <c r="F22" i="13" s="1"/>
  <c r="E68" i="13"/>
  <c r="F68" i="13" s="1"/>
  <c r="E114" i="13"/>
  <c r="F114" i="13" s="1"/>
  <c r="E10" i="13"/>
  <c r="F10" i="13" s="1"/>
  <c r="E87" i="13"/>
  <c r="F87" i="13" s="1"/>
  <c r="E171" i="13"/>
  <c r="F171" i="13" s="1"/>
  <c r="E13" i="13"/>
  <c r="F13" i="13" s="1"/>
  <c r="E186" i="13"/>
  <c r="F186" i="13" s="1"/>
  <c r="E123" i="13"/>
  <c r="F123" i="13" s="1"/>
  <c r="E172" i="13"/>
  <c r="F172" i="13" s="1"/>
  <c r="E9" i="13"/>
  <c r="F9" i="13" s="1"/>
  <c r="E178" i="13"/>
  <c r="F178" i="13" s="1"/>
  <c r="E149" i="13"/>
  <c r="F149" i="13" s="1"/>
  <c r="E164" i="13"/>
  <c r="F164" i="13" s="1"/>
  <c r="E64" i="13"/>
  <c r="F64" i="13" s="1"/>
  <c r="E51" i="13"/>
  <c r="F51" i="13" s="1"/>
  <c r="E98" i="13"/>
  <c r="F98" i="13" s="1"/>
  <c r="E220" i="13"/>
  <c r="F220" i="13" s="1"/>
  <c r="E113" i="13"/>
  <c r="F113" i="13" s="1"/>
  <c r="E231" i="13"/>
  <c r="F231" i="13" s="1"/>
  <c r="E125" i="13"/>
  <c r="F125" i="13" s="1"/>
  <c r="E12" i="13"/>
  <c r="F12" i="13" s="1"/>
  <c r="E46" i="13"/>
  <c r="F46" i="13" s="1"/>
  <c r="E102" i="13"/>
  <c r="F102" i="13" s="1"/>
  <c r="E41" i="13"/>
  <c r="F41" i="13" s="1"/>
  <c r="E94" i="13"/>
  <c r="F94" i="13" s="1"/>
  <c r="E17" i="13"/>
  <c r="F17" i="13" s="1"/>
  <c r="E225" i="13"/>
  <c r="F225" i="13" s="1"/>
  <c r="E69" i="13"/>
  <c r="F69" i="13" s="1"/>
  <c r="E55" i="13"/>
  <c r="F55" i="13" s="1"/>
  <c r="E169" i="13"/>
  <c r="F169" i="13" s="1"/>
  <c r="E227" i="13"/>
  <c r="F227" i="13" s="1"/>
  <c r="E197" i="13"/>
  <c r="F197" i="13" s="1"/>
  <c r="E103" i="13"/>
  <c r="F103" i="13" s="1"/>
  <c r="E224" i="13"/>
  <c r="F224" i="13" s="1"/>
  <c r="E11" i="13"/>
  <c r="F11" i="13" s="1"/>
  <c r="E139" i="13"/>
  <c r="F139" i="13" s="1"/>
  <c r="E146" i="13"/>
  <c r="F146" i="13" s="1"/>
  <c r="E119" i="13"/>
  <c r="F119" i="13" s="1"/>
  <c r="E184" i="13"/>
  <c r="F184" i="13" s="1"/>
  <c r="E162" i="13"/>
  <c r="F162" i="13" s="1"/>
  <c r="E57" i="13"/>
  <c r="F57" i="13" s="1"/>
  <c r="E226" i="13"/>
  <c r="F226" i="13" s="1"/>
  <c r="E60" i="13"/>
  <c r="F60" i="13" s="1"/>
  <c r="E237" i="13"/>
  <c r="F237" i="13" s="1"/>
  <c r="E93" i="13"/>
  <c r="F93" i="13" s="1"/>
  <c r="E215" i="13"/>
  <c r="F215" i="13" s="1"/>
  <c r="E108" i="13"/>
  <c r="F108" i="13" s="1"/>
  <c r="E158" i="13"/>
  <c r="F158" i="13" s="1"/>
  <c r="E195" i="13"/>
  <c r="F195" i="13" s="1"/>
  <c r="E213" i="13"/>
  <c r="F213" i="13" s="1"/>
  <c r="E40" i="13"/>
  <c r="F40" i="13" s="1"/>
  <c r="E142" i="13"/>
  <c r="F142" i="13" s="1"/>
  <c r="E101" i="13"/>
  <c r="F101" i="13" s="1"/>
  <c r="E8" i="13"/>
  <c r="F8" i="13" s="1"/>
  <c r="E81" i="13"/>
  <c r="F81" i="13" s="1"/>
  <c r="E45" i="13"/>
  <c r="F45" i="13" s="1"/>
  <c r="E47" i="13"/>
  <c r="F47" i="13" s="1"/>
  <c r="E39" i="13"/>
  <c r="F39" i="13" s="1"/>
  <c r="E27" i="13"/>
  <c r="F27" i="13" s="1"/>
  <c r="E18" i="13"/>
  <c r="F18" i="13" s="1"/>
  <c r="E128" i="13"/>
  <c r="F128" i="13" s="1"/>
  <c r="E61" i="13"/>
  <c r="F61" i="13" s="1"/>
  <c r="E78" i="13"/>
  <c r="F78" i="13" s="1"/>
  <c r="E141" i="13"/>
  <c r="F141" i="13" s="1"/>
  <c r="E33" i="13"/>
  <c r="F33" i="13" s="1"/>
  <c r="E188" i="13"/>
  <c r="F188" i="13" s="1"/>
  <c r="E165" i="13"/>
  <c r="F165" i="13" s="1"/>
  <c r="E105" i="13"/>
  <c r="F105" i="13" s="1"/>
  <c r="E163" i="13"/>
  <c r="F163" i="13" s="1"/>
  <c r="E53" i="13"/>
  <c r="F53" i="13" s="1"/>
  <c r="E84" i="13"/>
  <c r="F84" i="13" s="1"/>
  <c r="E151" i="13"/>
  <c r="F151" i="13" s="1"/>
  <c r="E230" i="13"/>
  <c r="F230" i="13" s="1"/>
  <c r="E20" i="13"/>
  <c r="F20" i="13" s="1"/>
  <c r="E82" i="13"/>
  <c r="F82" i="13" s="1"/>
  <c r="E106" i="13"/>
  <c r="F106" i="13" s="1"/>
  <c r="E143" i="13"/>
  <c r="F143" i="13" s="1"/>
  <c r="E126" i="13"/>
  <c r="F126" i="13" s="1"/>
  <c r="E204" i="13"/>
  <c r="F204" i="13" s="1"/>
  <c r="E214" i="13"/>
  <c r="F214" i="13" s="1"/>
  <c r="E210" i="13"/>
  <c r="F210" i="13" s="1"/>
  <c r="E96" i="13"/>
  <c r="F96" i="13" s="1"/>
  <c r="E34" i="13"/>
  <c r="F34" i="13" s="1"/>
  <c r="E63" i="13"/>
  <c r="F63" i="13" s="1"/>
  <c r="E135" i="13"/>
  <c r="F135" i="13" s="1"/>
  <c r="E209" i="13"/>
  <c r="F209" i="13" s="1"/>
  <c r="E70" i="13"/>
  <c r="F70" i="13" s="1"/>
  <c r="E216" i="13"/>
  <c r="F216" i="13" s="1"/>
  <c r="E166" i="13"/>
  <c r="F166" i="13" s="1"/>
  <c r="E133" i="13"/>
  <c r="F133" i="13" s="1"/>
  <c r="E122" i="13"/>
  <c r="F122" i="13" s="1"/>
  <c r="E121" i="13"/>
  <c r="F121" i="13" s="1"/>
  <c r="E150" i="13"/>
  <c r="F150" i="13" s="1"/>
  <c r="E154" i="13"/>
  <c r="F154" i="13" s="1"/>
  <c r="E88" i="13"/>
  <c r="F88" i="13" s="1"/>
  <c r="E6" i="13"/>
  <c r="F6" i="13" s="1"/>
  <c r="E86" i="13"/>
  <c r="F86" i="13" s="1"/>
  <c r="E202" i="13"/>
  <c r="F202" i="13" s="1"/>
  <c r="E80" i="13"/>
  <c r="F80" i="13" s="1"/>
  <c r="E120" i="13"/>
  <c r="F120" i="13" s="1"/>
  <c r="E233" i="13"/>
  <c r="F233" i="13" s="1"/>
  <c r="E30" i="13"/>
  <c r="F30" i="13" s="1"/>
  <c r="E67" i="13"/>
  <c r="F67" i="13" s="1"/>
  <c r="E111" i="13"/>
  <c r="F111" i="13" s="1"/>
  <c r="E223" i="13"/>
  <c r="F223" i="13" s="1"/>
  <c r="E238" i="13"/>
  <c r="F238" i="13" s="1"/>
  <c r="E26" i="13"/>
  <c r="F26" i="13" s="1"/>
  <c r="E200" i="13"/>
  <c r="F200" i="13" s="1"/>
  <c r="E72" i="13"/>
  <c r="F72" i="13" s="1"/>
  <c r="E24" i="13"/>
  <c r="F24" i="13" s="1"/>
  <c r="E147" i="13"/>
  <c r="F147" i="13" s="1"/>
  <c r="E157" i="13"/>
  <c r="F157" i="13" s="1"/>
  <c r="E107" i="13"/>
  <c r="F107" i="13" s="1"/>
  <c r="E229" i="13"/>
  <c r="F229" i="13" s="1"/>
  <c r="E177" i="13"/>
  <c r="F177" i="13" s="1"/>
  <c r="E131" i="13"/>
  <c r="F131" i="13" s="1"/>
  <c r="E32" i="13"/>
  <c r="F32" i="13" s="1"/>
  <c r="E92" i="13"/>
  <c r="F92" i="13" s="1"/>
  <c r="E71" i="13"/>
  <c r="F71" i="13" s="1"/>
  <c r="E73" i="13"/>
  <c r="F73" i="13" s="1"/>
  <c r="E190" i="13"/>
  <c r="F190" i="13" s="1"/>
  <c r="E62" i="13"/>
  <c r="F62" i="13" s="1"/>
  <c r="E198" i="13"/>
  <c r="F198" i="13" s="1"/>
  <c r="E208" i="13"/>
  <c r="F208" i="13" s="1"/>
  <c r="E203" i="13"/>
  <c r="F203" i="13" s="1"/>
  <c r="E104" i="13"/>
  <c r="F104" i="13" s="1"/>
  <c r="E148" i="13"/>
  <c r="F148" i="13" s="1"/>
  <c r="E117" i="13"/>
  <c r="F117" i="13" s="1"/>
  <c r="E97" i="13"/>
  <c r="F97" i="13" s="1"/>
  <c r="E168" i="13"/>
  <c r="F168" i="13" s="1"/>
  <c r="E75" i="13"/>
  <c r="F75" i="13" s="1"/>
  <c r="E89" i="13"/>
  <c r="F89" i="13" s="1"/>
  <c r="E95" i="13"/>
  <c r="F95" i="13" s="1"/>
  <c r="E140" i="13"/>
  <c r="F140" i="13" s="1"/>
  <c r="E25" i="13"/>
  <c r="F25" i="13" s="1"/>
  <c r="E43" i="13"/>
  <c r="F43" i="13" s="1"/>
  <c r="E130" i="13"/>
  <c r="F130" i="13" s="1"/>
  <c r="E222" i="13"/>
  <c r="F222" i="13" s="1"/>
  <c r="E28" i="13"/>
  <c r="F28" i="13" s="1"/>
  <c r="E176" i="13"/>
  <c r="F176" i="13" s="1"/>
  <c r="E159" i="13"/>
  <c r="F159" i="13" s="1"/>
  <c r="E4" i="13"/>
  <c r="F4" i="13" s="1"/>
  <c r="E194" i="13"/>
  <c r="F194" i="13" s="1"/>
  <c r="E23" i="13"/>
  <c r="F23" i="13" s="1"/>
  <c r="E173" i="13"/>
  <c r="F173" i="13" s="1"/>
  <c r="E185" i="13"/>
  <c r="F185" i="13" s="1"/>
  <c r="E90" i="13"/>
  <c r="F90" i="13" s="1"/>
  <c r="E156" i="13"/>
  <c r="F156" i="13" s="1"/>
  <c r="E234" i="13"/>
  <c r="F234" i="13" s="1"/>
  <c r="E50" i="13"/>
  <c r="F50" i="13" s="1"/>
  <c r="E79" i="13"/>
  <c r="F79" i="13" s="1"/>
  <c r="E124" i="13"/>
  <c r="F124" i="13" s="1"/>
  <c r="E167" i="13"/>
  <c r="F167" i="13" s="1"/>
  <c r="E52" i="13"/>
  <c r="F52" i="13" s="1"/>
  <c r="E182" i="13"/>
  <c r="F182" i="13" s="1"/>
  <c r="E83" i="13"/>
  <c r="F83" i="13" s="1"/>
  <c r="E127" i="13"/>
  <c r="F127" i="13" s="1"/>
  <c r="E66" i="13"/>
  <c r="F66" i="13" s="1"/>
  <c r="E175" i="13"/>
  <c r="F175" i="13" s="1"/>
  <c r="E153" i="13"/>
  <c r="F153" i="13" s="1"/>
  <c r="E217" i="13"/>
  <c r="F217" i="13" s="1"/>
  <c r="E5" i="13"/>
  <c r="F5" i="13" s="1"/>
  <c r="E235" i="13"/>
  <c r="F235" i="13" s="1"/>
  <c r="E207" i="13"/>
  <c r="F207" i="13" s="1"/>
  <c r="E58" i="13"/>
  <c r="F58" i="13" s="1"/>
  <c r="E201" i="13"/>
  <c r="F201" i="13" s="1"/>
  <c r="E134" i="13"/>
  <c r="F134" i="13" s="1"/>
  <c r="E138" i="13"/>
  <c r="F138" i="13" s="1"/>
  <c r="E3" i="13"/>
  <c r="F3" i="13" s="1"/>
  <c r="E145" i="13"/>
  <c r="F145" i="13" s="1"/>
  <c r="E155" i="13"/>
  <c r="F155" i="13" s="1"/>
  <c r="E118" i="13"/>
  <c r="F118" i="13" s="1"/>
  <c r="E29" i="13"/>
  <c r="F29" i="13" s="1"/>
  <c r="E21" i="13"/>
  <c r="F21" i="13" s="1"/>
  <c r="E206" i="13"/>
  <c r="F206" i="13" s="1"/>
  <c r="E189" i="13"/>
  <c r="F189" i="13" s="1"/>
  <c r="E37" i="13"/>
  <c r="F37" i="13" s="1"/>
  <c r="E59" i="13"/>
  <c r="F59" i="13" s="1"/>
  <c r="E14" i="13"/>
  <c r="F14" i="13" s="1"/>
  <c r="E100" i="13"/>
  <c r="F100" i="13" s="1"/>
  <c r="E174" i="13"/>
  <c r="F174" i="13" s="1"/>
  <c r="E35" i="13"/>
  <c r="F35" i="13" s="1"/>
  <c r="E115" i="13"/>
  <c r="F115" i="13" s="1"/>
  <c r="E191" i="13"/>
  <c r="F191" i="13" s="1"/>
  <c r="E187" i="13"/>
  <c r="F187" i="13" s="1"/>
  <c r="E161" i="13"/>
  <c r="F161" i="13" s="1"/>
  <c r="E219" i="13"/>
  <c r="F219" i="13" s="1"/>
  <c r="E109" i="13"/>
  <c r="F109" i="13" s="1"/>
  <c r="E236" i="13"/>
  <c r="F236" i="13" s="1"/>
  <c r="E99" i="13"/>
  <c r="F99" i="13" s="1"/>
  <c r="E193" i="13"/>
  <c r="F193" i="13" s="1"/>
  <c r="E42" i="13"/>
  <c r="F42" i="13" s="1"/>
  <c r="E38" i="13"/>
  <c r="F38" i="13" s="1"/>
  <c r="E56" i="13"/>
  <c r="F56" i="13" s="1"/>
  <c r="E44" i="13"/>
  <c r="F44" i="13" s="1"/>
  <c r="E65" i="13"/>
  <c r="F65" i="13" s="1"/>
  <c r="E183" i="13"/>
  <c r="F183" i="13" s="1"/>
  <c r="E136" i="13"/>
  <c r="F136" i="13" s="1"/>
  <c r="E221" i="13"/>
  <c r="F221" i="13" s="1"/>
  <c r="E19" i="13"/>
  <c r="F19" i="13" s="1"/>
  <c r="E76" i="13"/>
  <c r="F76" i="13" s="1"/>
  <c r="E110" i="13"/>
  <c r="F110" i="13" s="1"/>
  <c r="E144" i="13"/>
  <c r="F144" i="13" s="1"/>
  <c r="E116" i="13"/>
  <c r="F116" i="13" s="1"/>
  <c r="E36" i="13"/>
  <c r="F36" i="13" s="1"/>
  <c r="E152" i="13"/>
  <c r="F152" i="13" s="1"/>
  <c r="E205" i="13"/>
  <c r="F205" i="13" s="1"/>
  <c r="E192" i="13"/>
  <c r="F192" i="13" s="1"/>
  <c r="E228" i="13"/>
  <c r="F228" i="13" s="1"/>
  <c r="E91" i="13"/>
  <c r="F91" i="13" s="1"/>
  <c r="E121" i="1"/>
  <c r="F121" i="1" s="1"/>
  <c r="E179" i="1"/>
  <c r="F179" i="1" s="1"/>
  <c r="E38" i="1"/>
  <c r="F38" i="1" s="1"/>
  <c r="G2" i="4" l="1"/>
  <c r="G2" i="5"/>
  <c r="G2" i="11"/>
  <c r="G2" i="10"/>
  <c r="G2" i="1"/>
  <c r="G2" i="12"/>
  <c r="G2" i="8"/>
  <c r="G2" i="9"/>
  <c r="G2" i="13"/>
  <c r="G2" i="14"/>
</calcChain>
</file>

<file path=xl/sharedStrings.xml><?xml version="1.0" encoding="utf-8"?>
<sst xmlns="http://schemas.openxmlformats.org/spreadsheetml/2006/main" count="252" uniqueCount="27">
  <si>
    <t>Parameters</t>
  </si>
  <si>
    <t>offset</t>
  </si>
  <si>
    <t>N</t>
  </si>
  <si>
    <t>model f</t>
  </si>
  <si>
    <t>res</t>
  </si>
  <si>
    <t>chi2</t>
  </si>
  <si>
    <t>Corr.Time [ms]</t>
  </si>
  <si>
    <t>gfp2</t>
  </si>
  <si>
    <t>Rh110</t>
  </si>
  <si>
    <t>antibody1</t>
  </si>
  <si>
    <t>antibody2</t>
  </si>
  <si>
    <t>mixknown1</t>
  </si>
  <si>
    <t>mixknown2</t>
  </si>
  <si>
    <t>x1</t>
  </si>
  <si>
    <t>KT</t>
  </si>
  <si>
    <t>KR</t>
  </si>
  <si>
    <t>mixunknown2</t>
  </si>
  <si>
    <t>mixunknown1</t>
  </si>
  <si>
    <t>Count rate [kHz]</t>
  </si>
  <si>
    <t>Ch.1</t>
  </si>
  <si>
    <t>Ch.2</t>
  </si>
  <si>
    <t>kcpm</t>
  </si>
  <si>
    <t>Zo/Wo</t>
  </si>
  <si>
    <t>tR [ms]</t>
  </si>
  <si>
    <t>tT [ms]</t>
  </si>
  <si>
    <t>tD2 [ms]</t>
  </si>
  <si>
    <t>tD1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</si>
</sst>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18"/>
      <name val="Calibri"/>
      <family val="2"/>
    </font>
    <font>
      <b/>
      <sz val="11"/>
      <color indexed="12"/>
      <name val="Calibri"/>
      <family val="2"/>
    </font>
    <font>
      <b/>
      <sz val="11"/>
      <color indexed="11"/>
      <name val="Calibri"/>
      <family val="2"/>
    </font>
    <font>
      <sz val="11"/>
      <color indexed="57"/>
      <name val="Calibri"/>
      <family val="2"/>
    </font>
    <font>
      <sz val="11"/>
      <color indexed="21"/>
      <name val="Calibri"/>
      <family val="2"/>
    </font>
    <font>
      <b/>
      <sz val="11"/>
      <color indexed="21"/>
      <name val="Calibri"/>
      <family val="2"/>
    </font>
    <font>
      <sz val="11"/>
      <color indexed="56"/>
      <name val="Calibri"/>
      <family val="2"/>
    </font>
    <font>
      <b/>
      <sz val="11"/>
      <color indexed="10"/>
      <name val="Calibri"/>
      <family val="2"/>
    </font>
    <font>
      <b/>
      <sz val="12"/>
      <color indexed="12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1" fillId="11" borderId="1" applyNumberFormat="0" applyFont="0" applyAlignment="0" applyProtection="0"/>
    <xf numFmtId="0" fontId="12" fillId="11" borderId="1" applyNumberFormat="0" applyFont="0" applyAlignment="0" applyProtection="0"/>
    <xf numFmtId="0" fontId="13" fillId="11" borderId="1" applyNumberFormat="0" applyFont="0" applyAlignment="0" applyProtection="0"/>
    <xf numFmtId="0" fontId="15" fillId="11" borderId="1" applyNumberFormat="0" applyFon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4" fillId="14" borderId="5" applyNumberFormat="0" applyAlignment="0" applyProtection="0"/>
    <xf numFmtId="0" fontId="25" fillId="15" borderId="6" applyNumberFormat="0" applyAlignment="0" applyProtection="0"/>
    <xf numFmtId="0" fontId="26" fillId="15" borderId="5" applyNumberFormat="0" applyAlignment="0" applyProtection="0"/>
    <xf numFmtId="0" fontId="27" fillId="0" borderId="7" applyNumberFormat="0" applyFill="0" applyAlignment="0" applyProtection="0"/>
    <xf numFmtId="0" fontId="28" fillId="16" borderId="8" applyNumberFormat="0" applyAlignment="0" applyProtection="0"/>
    <xf numFmtId="0" fontId="29" fillId="0" borderId="0" applyNumberFormat="0" applyFill="0" applyBorder="0" applyAlignment="0" applyProtection="0"/>
    <xf numFmtId="0" fontId="15" fillId="11" borderId="1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16" fillId="17" borderId="0" applyNumberFormat="0" applyBorder="0" applyAlignment="0" applyProtection="0"/>
    <xf numFmtId="0" fontId="15" fillId="2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5" fillId="3" borderId="0" applyNumberFormat="0" applyBorder="0" applyAlignment="0" applyProtection="0"/>
    <xf numFmtId="0" fontId="15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24" borderId="0" applyNumberFormat="0" applyBorder="0" applyAlignment="0" applyProtection="0"/>
    <xf numFmtId="0" fontId="15" fillId="5" borderId="0" applyNumberFormat="0" applyBorder="0" applyAlignment="0" applyProtection="0"/>
    <xf numFmtId="0" fontId="15" fillId="25" borderId="0" applyNumberFormat="0" applyBorder="0" applyAlignment="0" applyProtection="0"/>
    <xf numFmtId="0" fontId="16" fillId="8" borderId="0" applyNumberFormat="0" applyBorder="0" applyAlignment="0" applyProtection="0"/>
    <xf numFmtId="0" fontId="16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6" fillId="9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44">
    <xf numFmtId="0" fontId="0" fillId="0" borderId="0" xfId="0"/>
    <xf numFmtId="11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1" fontId="9" fillId="0" borderId="0" xfId="0" applyNumberFormat="1" applyFont="1"/>
    <xf numFmtId="0" fontId="10" fillId="0" borderId="0" xfId="0" applyFont="1" applyAlignment="1">
      <alignment horizontal="center"/>
    </xf>
    <xf numFmtId="11" fontId="5" fillId="0" borderId="0" xfId="0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64">
    <cellStyle name="20 % - Akzent1 2" xfId="1"/>
    <cellStyle name="20 % - Akzent2 2" xfId="2"/>
    <cellStyle name="20 % - Akzent3 2" xfId="3"/>
    <cellStyle name="20 % - Akzent4 2" xfId="4"/>
    <cellStyle name="20% - Accent1" xfId="40" builtinId="30" customBuiltin="1"/>
    <cellStyle name="20% - Accent1 2" xfId="5"/>
    <cellStyle name="20% - Accent2" xfId="44" builtinId="34" customBuiltin="1"/>
    <cellStyle name="20% - Accent2 2" xfId="6"/>
    <cellStyle name="20% - Accent3" xfId="48" builtinId="38" customBuiltin="1"/>
    <cellStyle name="20% - Accent3 2" xfId="7"/>
    <cellStyle name="20% - Accent4" xfId="52" builtinId="42" customBuiltin="1"/>
    <cellStyle name="20% - Accent4 2" xfId="8"/>
    <cellStyle name="20% - Accent5" xfId="56" builtinId="46" customBuiltin="1"/>
    <cellStyle name="20% - Accent6" xfId="60" builtinId="50" customBuiltin="1"/>
    <cellStyle name="40 % - Akzent3 2" xfId="9"/>
    <cellStyle name="40% - Accent1" xfId="41" builtinId="31" customBuiltin="1"/>
    <cellStyle name="40% - Accent2" xfId="45" builtinId="35" customBuiltin="1"/>
    <cellStyle name="40% - Accent3" xfId="49" builtinId="39" customBuiltin="1"/>
    <cellStyle name="40% - Accent3 2" xfId="10"/>
    <cellStyle name="40% - Accent4" xfId="53" builtinId="43" customBuiltin="1"/>
    <cellStyle name="40% - Accent5" xfId="57" builtinId="47" customBuiltin="1"/>
    <cellStyle name="40% - Accent6" xfId="61" builtinId="51" customBuiltin="1"/>
    <cellStyle name="60 % - Akzent3 2" xfId="11"/>
    <cellStyle name="60 % - Akzent4 2" xfId="12"/>
    <cellStyle name="60 % - Akzent6 2" xfId="13"/>
    <cellStyle name="60% - Accent1" xfId="42" builtinId="32" customBuiltin="1"/>
    <cellStyle name="60% - Accent2" xfId="46" builtinId="36" customBuiltin="1"/>
    <cellStyle name="60% - Accent3" xfId="50" builtinId="40" customBuiltin="1"/>
    <cellStyle name="60% - Accent3 2" xfId="14"/>
    <cellStyle name="60% - Accent4" xfId="54" builtinId="44" customBuiltin="1"/>
    <cellStyle name="60% - Accent4 2" xfId="15"/>
    <cellStyle name="60% - Accent5" xfId="58" builtinId="48" customBuiltin="1"/>
    <cellStyle name="60% - Accent6" xfId="62" builtinId="52" customBuiltin="1"/>
    <cellStyle name="60% - Accent6 2" xfId="16"/>
    <cellStyle name="Accent1" xfId="39" builtinId="29" customBuiltin="1"/>
    <cellStyle name="Accent2" xfId="43" builtinId="33" customBuiltin="1"/>
    <cellStyle name="Accent3" xfId="47" builtinId="37" customBuiltin="1"/>
    <cellStyle name="Accent4" xfId="51" builtinId="41" customBuiltin="1"/>
    <cellStyle name="Accent5" xfId="55" builtinId="45" customBuiltin="1"/>
    <cellStyle name="Accent6" xfId="59" builtinId="49" customBuiltin="1"/>
    <cellStyle name="Bad" xfId="29" builtinId="27" customBuiltin="1"/>
    <cellStyle name="Calculation" xfId="32" builtinId="22" customBuiltin="1"/>
    <cellStyle name="Check Cell" xfId="34" builtinId="23" customBuiltin="1"/>
    <cellStyle name="Explanatory Text" xfId="37" builtinId="53" customBuiltin="1"/>
    <cellStyle name="Good" xfId="28" builtinId="26" customBuiltin="1"/>
    <cellStyle name="Heading 1" xfId="24" builtinId="16" customBuiltin="1"/>
    <cellStyle name="Heading 2" xfId="25" builtinId="17" customBuiltin="1"/>
    <cellStyle name="Heading 3" xfId="26" builtinId="18" customBuiltin="1"/>
    <cellStyle name="Heading 4" xfId="27" builtinId="19" customBuiltin="1"/>
    <cellStyle name="Input" xfId="30" builtinId="20" customBuiltin="1"/>
    <cellStyle name="Linked Cell" xfId="33" builtinId="24" customBuiltin="1"/>
    <cellStyle name="Neutral" xfId="17" builtinId="28" customBuiltin="1"/>
    <cellStyle name="Normal" xfId="0" builtinId="0"/>
    <cellStyle name="Note" xfId="36" builtinId="10" customBuiltin="1"/>
    <cellStyle name="Note 2" xfId="18"/>
    <cellStyle name="Note 3" xfId="19"/>
    <cellStyle name="Note 4" xfId="20"/>
    <cellStyle name="Notiz 2" xfId="21"/>
    <cellStyle name="Output" xfId="31" builtinId="21" customBuiltin="1"/>
    <cellStyle name="Title" xfId="23" builtinId="15" customBuiltin="1"/>
    <cellStyle name="Title 2" xfId="63"/>
    <cellStyle name="Total" xfId="38" builtinId="25" customBuiltin="1"/>
    <cellStyle name="Überschrift 5" xfId="22"/>
    <cellStyle name="Warning Text" xfId="3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922229418292396E-2"/>
          <c:y val="4.9891540130151846E-2"/>
          <c:w val="0.87734608931459324"/>
          <c:h val="0.830802603036876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'1_Rh110 in H20'!$B$1</c:f>
              <c:strCache>
                <c:ptCount val="1"/>
                <c:pt idx="0">
                  <c:v>Rh110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'1_Rh110 in H20'!$A$2:$A$252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'1_Rh110 in H20'!$B$2:$B$252</c:f>
              <c:numCache>
                <c:formatCode>General</c:formatCode>
                <c:ptCount val="251"/>
                <c:pt idx="0">
                  <c:v>1.1434899999999999</c:v>
                </c:pt>
                <c:pt idx="1">
                  <c:v>1.2258100000000001</c:v>
                </c:pt>
                <c:pt idx="2">
                  <c:v>1.2370000000000001</c:v>
                </c:pt>
                <c:pt idx="3">
                  <c:v>1.24708</c:v>
                </c:pt>
                <c:pt idx="4">
                  <c:v>1.2450399999999999</c:v>
                </c:pt>
                <c:pt idx="5">
                  <c:v>1.2320199999999999</c:v>
                </c:pt>
                <c:pt idx="6">
                  <c:v>1.25939</c:v>
                </c:pt>
                <c:pt idx="7">
                  <c:v>1.2454499999999999</c:v>
                </c:pt>
                <c:pt idx="8">
                  <c:v>1.2449399999999999</c:v>
                </c:pt>
                <c:pt idx="9">
                  <c:v>1.25817</c:v>
                </c:pt>
                <c:pt idx="10">
                  <c:v>1.26326</c:v>
                </c:pt>
                <c:pt idx="11">
                  <c:v>1.2278500000000001</c:v>
                </c:pt>
                <c:pt idx="12">
                  <c:v>1.25461</c:v>
                </c:pt>
                <c:pt idx="13">
                  <c:v>1.2329300000000001</c:v>
                </c:pt>
                <c:pt idx="14">
                  <c:v>1.2296800000000001</c:v>
                </c:pt>
                <c:pt idx="15">
                  <c:v>1.2495700000000001</c:v>
                </c:pt>
                <c:pt idx="16">
                  <c:v>1.23705</c:v>
                </c:pt>
                <c:pt idx="17">
                  <c:v>1.25522</c:v>
                </c:pt>
                <c:pt idx="18">
                  <c:v>1.26702</c:v>
                </c:pt>
                <c:pt idx="19">
                  <c:v>1.2456</c:v>
                </c:pt>
                <c:pt idx="20">
                  <c:v>1.22133</c:v>
                </c:pt>
                <c:pt idx="21">
                  <c:v>1.22942</c:v>
                </c:pt>
                <c:pt idx="22">
                  <c:v>1.24733</c:v>
                </c:pt>
                <c:pt idx="23">
                  <c:v>1.2381500000000001</c:v>
                </c:pt>
                <c:pt idx="24">
                  <c:v>1.23644</c:v>
                </c:pt>
                <c:pt idx="25">
                  <c:v>1.2370000000000001</c:v>
                </c:pt>
                <c:pt idx="26">
                  <c:v>1.2472799999999999</c:v>
                </c:pt>
                <c:pt idx="27">
                  <c:v>1.23828</c:v>
                </c:pt>
                <c:pt idx="28">
                  <c:v>1.23736</c:v>
                </c:pt>
                <c:pt idx="29">
                  <c:v>1.24346</c:v>
                </c:pt>
                <c:pt idx="30">
                  <c:v>1.24837</c:v>
                </c:pt>
                <c:pt idx="31">
                  <c:v>1.23976</c:v>
                </c:pt>
                <c:pt idx="32">
                  <c:v>1.24261</c:v>
                </c:pt>
                <c:pt idx="33">
                  <c:v>1.24854</c:v>
                </c:pt>
                <c:pt idx="34">
                  <c:v>1.2404500000000001</c:v>
                </c:pt>
                <c:pt idx="35">
                  <c:v>1.24247</c:v>
                </c:pt>
                <c:pt idx="36">
                  <c:v>1.2413700000000001</c:v>
                </c:pt>
                <c:pt idx="37">
                  <c:v>1.2412000000000001</c:v>
                </c:pt>
                <c:pt idx="38">
                  <c:v>1.2417100000000001</c:v>
                </c:pt>
                <c:pt idx="39">
                  <c:v>1.2415499999999999</c:v>
                </c:pt>
                <c:pt idx="40">
                  <c:v>1.2415400000000001</c:v>
                </c:pt>
                <c:pt idx="41">
                  <c:v>1.24275</c:v>
                </c:pt>
                <c:pt idx="42">
                  <c:v>1.2365699999999999</c:v>
                </c:pt>
                <c:pt idx="43">
                  <c:v>1.2425999999999999</c:v>
                </c:pt>
                <c:pt idx="44">
                  <c:v>1.2351000000000001</c:v>
                </c:pt>
                <c:pt idx="45">
                  <c:v>1.24671</c:v>
                </c:pt>
                <c:pt idx="46">
                  <c:v>1.2442899999999999</c:v>
                </c:pt>
                <c:pt idx="47">
                  <c:v>1.2412000000000001</c:v>
                </c:pt>
                <c:pt idx="48">
                  <c:v>1.2414000000000001</c:v>
                </c:pt>
                <c:pt idx="49">
                  <c:v>1.23743</c:v>
                </c:pt>
                <c:pt idx="50">
                  <c:v>1.2382899999999999</c:v>
                </c:pt>
                <c:pt idx="51">
                  <c:v>1.2392300000000001</c:v>
                </c:pt>
                <c:pt idx="52">
                  <c:v>1.2369699999999999</c:v>
                </c:pt>
                <c:pt idx="53">
                  <c:v>1.2365900000000001</c:v>
                </c:pt>
                <c:pt idx="54">
                  <c:v>1.2345600000000001</c:v>
                </c:pt>
                <c:pt idx="55">
                  <c:v>1.2357199999999999</c:v>
                </c:pt>
                <c:pt idx="56">
                  <c:v>1.2372399999999999</c:v>
                </c:pt>
                <c:pt idx="57">
                  <c:v>1.2341500000000001</c:v>
                </c:pt>
                <c:pt idx="58">
                  <c:v>1.2340899999999999</c:v>
                </c:pt>
                <c:pt idx="59">
                  <c:v>1.23698</c:v>
                </c:pt>
                <c:pt idx="60">
                  <c:v>1.2304299999999999</c:v>
                </c:pt>
                <c:pt idx="61">
                  <c:v>1.23122</c:v>
                </c:pt>
                <c:pt idx="62">
                  <c:v>1.22993</c:v>
                </c:pt>
                <c:pt idx="63">
                  <c:v>1.23136</c:v>
                </c:pt>
                <c:pt idx="64">
                  <c:v>1.22767</c:v>
                </c:pt>
                <c:pt idx="65">
                  <c:v>1.2287999999999999</c:v>
                </c:pt>
                <c:pt idx="66">
                  <c:v>1.2278800000000001</c:v>
                </c:pt>
                <c:pt idx="67">
                  <c:v>1.2245200000000001</c:v>
                </c:pt>
                <c:pt idx="68">
                  <c:v>1.22532</c:v>
                </c:pt>
                <c:pt idx="69">
                  <c:v>1.2249099999999999</c:v>
                </c:pt>
                <c:pt idx="70">
                  <c:v>1.22526</c:v>
                </c:pt>
                <c:pt idx="71">
                  <c:v>1.2238199999999999</c:v>
                </c:pt>
                <c:pt idx="72">
                  <c:v>1.2213700000000001</c:v>
                </c:pt>
                <c:pt idx="73">
                  <c:v>1.21963</c:v>
                </c:pt>
                <c:pt idx="74">
                  <c:v>1.2213000000000001</c:v>
                </c:pt>
                <c:pt idx="75">
                  <c:v>1.2188699999999999</c:v>
                </c:pt>
                <c:pt idx="76">
                  <c:v>1.2174199999999999</c:v>
                </c:pt>
                <c:pt idx="77">
                  <c:v>1.2161900000000001</c:v>
                </c:pt>
                <c:pt idx="78">
                  <c:v>1.2136499999999999</c:v>
                </c:pt>
                <c:pt idx="79">
                  <c:v>1.21316</c:v>
                </c:pt>
                <c:pt idx="80">
                  <c:v>1.21279</c:v>
                </c:pt>
                <c:pt idx="81">
                  <c:v>1.2095899999999999</c:v>
                </c:pt>
                <c:pt idx="82">
                  <c:v>1.2069000000000001</c:v>
                </c:pt>
                <c:pt idx="83">
                  <c:v>1.2057100000000001</c:v>
                </c:pt>
                <c:pt idx="84">
                  <c:v>1.2035899999999999</c:v>
                </c:pt>
                <c:pt idx="85">
                  <c:v>1.20157</c:v>
                </c:pt>
                <c:pt idx="86">
                  <c:v>1.1994800000000001</c:v>
                </c:pt>
                <c:pt idx="87">
                  <c:v>1.1980299999999999</c:v>
                </c:pt>
                <c:pt idx="88">
                  <c:v>1.19404</c:v>
                </c:pt>
                <c:pt idx="89">
                  <c:v>1.19055</c:v>
                </c:pt>
                <c:pt idx="90">
                  <c:v>1.1874800000000001</c:v>
                </c:pt>
                <c:pt idx="91">
                  <c:v>1.18425</c:v>
                </c:pt>
                <c:pt idx="92">
                  <c:v>1.1801299999999999</c:v>
                </c:pt>
                <c:pt idx="93">
                  <c:v>1.1780600000000001</c:v>
                </c:pt>
                <c:pt idx="94">
                  <c:v>1.1751400000000001</c:v>
                </c:pt>
                <c:pt idx="95">
                  <c:v>1.1721699999999999</c:v>
                </c:pt>
                <c:pt idx="96">
                  <c:v>1.1661999999999999</c:v>
                </c:pt>
                <c:pt idx="97">
                  <c:v>1.1611800000000001</c:v>
                </c:pt>
                <c:pt idx="98">
                  <c:v>1.15642</c:v>
                </c:pt>
                <c:pt idx="99">
                  <c:v>1.1522399999999999</c:v>
                </c:pt>
                <c:pt idx="100">
                  <c:v>1.1478600000000001</c:v>
                </c:pt>
                <c:pt idx="101">
                  <c:v>1.1439299999999999</c:v>
                </c:pt>
                <c:pt idx="102">
                  <c:v>1.1401699999999999</c:v>
                </c:pt>
                <c:pt idx="103">
                  <c:v>1.13608</c:v>
                </c:pt>
                <c:pt idx="104">
                  <c:v>1.1292599999999999</c:v>
                </c:pt>
                <c:pt idx="105">
                  <c:v>1.1232800000000001</c:v>
                </c:pt>
                <c:pt idx="106">
                  <c:v>1.1178600000000001</c:v>
                </c:pt>
                <c:pt idx="107">
                  <c:v>1.11277</c:v>
                </c:pt>
                <c:pt idx="108">
                  <c:v>1.10771</c:v>
                </c:pt>
                <c:pt idx="109">
                  <c:v>1.10372</c:v>
                </c:pt>
                <c:pt idx="110">
                  <c:v>1.09954</c:v>
                </c:pt>
                <c:pt idx="111">
                  <c:v>1.0960700000000001</c:v>
                </c:pt>
                <c:pt idx="112">
                  <c:v>1.0893200000000001</c:v>
                </c:pt>
                <c:pt idx="113">
                  <c:v>1.0834299999999999</c:v>
                </c:pt>
                <c:pt idx="114">
                  <c:v>1.0784</c:v>
                </c:pt>
                <c:pt idx="115">
                  <c:v>1.0739099999999999</c:v>
                </c:pt>
                <c:pt idx="116">
                  <c:v>1.06999</c:v>
                </c:pt>
                <c:pt idx="117">
                  <c:v>1.0660799999999999</c:v>
                </c:pt>
                <c:pt idx="118">
                  <c:v>1.0629200000000001</c:v>
                </c:pt>
                <c:pt idx="119">
                  <c:v>1.0600400000000001</c:v>
                </c:pt>
                <c:pt idx="120">
                  <c:v>1.0546199999999999</c:v>
                </c:pt>
                <c:pt idx="121">
                  <c:v>1.0499099999999999</c:v>
                </c:pt>
                <c:pt idx="122">
                  <c:v>1.0463899999999999</c:v>
                </c:pt>
                <c:pt idx="123">
                  <c:v>1.0430600000000001</c:v>
                </c:pt>
                <c:pt idx="124">
                  <c:v>1.0403</c:v>
                </c:pt>
                <c:pt idx="125">
                  <c:v>1.03813</c:v>
                </c:pt>
                <c:pt idx="126">
                  <c:v>1.0357099999999999</c:v>
                </c:pt>
                <c:pt idx="127">
                  <c:v>1.0337099999999999</c:v>
                </c:pt>
                <c:pt idx="128">
                  <c:v>1.0300800000000001</c:v>
                </c:pt>
                <c:pt idx="129">
                  <c:v>1.02721</c:v>
                </c:pt>
                <c:pt idx="130">
                  <c:v>1.0245500000000001</c:v>
                </c:pt>
                <c:pt idx="131">
                  <c:v>1.0224800000000001</c:v>
                </c:pt>
                <c:pt idx="132">
                  <c:v>1.0204500000000001</c:v>
                </c:pt>
                <c:pt idx="133">
                  <c:v>1.0189299999999999</c:v>
                </c:pt>
                <c:pt idx="134">
                  <c:v>1.0178199999999999</c:v>
                </c:pt>
                <c:pt idx="135">
                  <c:v>1.0164200000000001</c:v>
                </c:pt>
                <c:pt idx="136">
                  <c:v>1.01437</c:v>
                </c:pt>
                <c:pt idx="137">
                  <c:v>1.01284</c:v>
                </c:pt>
                <c:pt idx="138">
                  <c:v>1.0119</c:v>
                </c:pt>
                <c:pt idx="139">
                  <c:v>1.0107299999999999</c:v>
                </c:pt>
                <c:pt idx="140">
                  <c:v>1.00959</c:v>
                </c:pt>
                <c:pt idx="141">
                  <c:v>1.00892</c:v>
                </c:pt>
                <c:pt idx="142">
                  <c:v>1.0085599999999999</c:v>
                </c:pt>
                <c:pt idx="143">
                  <c:v>1.00823</c:v>
                </c:pt>
                <c:pt idx="144">
                  <c:v>1.0072099999999999</c:v>
                </c:pt>
                <c:pt idx="145">
                  <c:v>1.0063899999999999</c:v>
                </c:pt>
                <c:pt idx="146">
                  <c:v>1.0059800000000001</c:v>
                </c:pt>
                <c:pt idx="147">
                  <c:v>1.00509</c:v>
                </c:pt>
                <c:pt idx="148">
                  <c:v>1.0047299999999999</c:v>
                </c:pt>
                <c:pt idx="149">
                  <c:v>1.00431</c:v>
                </c:pt>
                <c:pt idx="150">
                  <c:v>1.0038800000000001</c:v>
                </c:pt>
                <c:pt idx="151">
                  <c:v>1.0036799999999999</c:v>
                </c:pt>
                <c:pt idx="152">
                  <c:v>1.00308</c:v>
                </c:pt>
                <c:pt idx="153">
                  <c:v>1.0025299999999999</c:v>
                </c:pt>
                <c:pt idx="154">
                  <c:v>1.0020899999999999</c:v>
                </c:pt>
                <c:pt idx="155">
                  <c:v>1.00179</c:v>
                </c:pt>
                <c:pt idx="156">
                  <c:v>1.0018199999999999</c:v>
                </c:pt>
                <c:pt idx="157">
                  <c:v>1.0020100000000001</c:v>
                </c:pt>
                <c:pt idx="158">
                  <c:v>1.00206</c:v>
                </c:pt>
                <c:pt idx="159">
                  <c:v>1.00162</c:v>
                </c:pt>
                <c:pt idx="160">
                  <c:v>1.0016799999999999</c:v>
                </c:pt>
                <c:pt idx="161">
                  <c:v>1.00136</c:v>
                </c:pt>
                <c:pt idx="162">
                  <c:v>1.00145</c:v>
                </c:pt>
                <c:pt idx="163">
                  <c:v>1.0012300000000001</c:v>
                </c:pt>
                <c:pt idx="164">
                  <c:v>1.00115</c:v>
                </c:pt>
                <c:pt idx="165">
                  <c:v>1.00136</c:v>
                </c:pt>
                <c:pt idx="166">
                  <c:v>1.00088</c:v>
                </c:pt>
                <c:pt idx="167">
                  <c:v>1.00074</c:v>
                </c:pt>
                <c:pt idx="168">
                  <c:v>1.0008699999999999</c:v>
                </c:pt>
                <c:pt idx="169">
                  <c:v>1.0004200000000001</c:v>
                </c:pt>
                <c:pt idx="170">
                  <c:v>1.00081</c:v>
                </c:pt>
                <c:pt idx="171">
                  <c:v>1.0008900000000001</c:v>
                </c:pt>
                <c:pt idx="172">
                  <c:v>1.0007900000000001</c:v>
                </c:pt>
                <c:pt idx="173">
                  <c:v>1.0004500000000001</c:v>
                </c:pt>
                <c:pt idx="174">
                  <c:v>1.0008300000000001</c:v>
                </c:pt>
                <c:pt idx="175">
                  <c:v>1.00051</c:v>
                </c:pt>
                <c:pt idx="176">
                  <c:v>1.00058</c:v>
                </c:pt>
                <c:pt idx="177">
                  <c:v>1.0006699999999999</c:v>
                </c:pt>
                <c:pt idx="178">
                  <c:v>1.0002</c:v>
                </c:pt>
                <c:pt idx="179">
                  <c:v>1.0003299999999999</c:v>
                </c:pt>
                <c:pt idx="180">
                  <c:v>1.0006699999999999</c:v>
                </c:pt>
                <c:pt idx="181">
                  <c:v>1.00024</c:v>
                </c:pt>
                <c:pt idx="182">
                  <c:v>1.0001</c:v>
                </c:pt>
                <c:pt idx="183">
                  <c:v>1.0002800000000001</c:v>
                </c:pt>
                <c:pt idx="184">
                  <c:v>0.99995199999999995</c:v>
                </c:pt>
                <c:pt idx="185">
                  <c:v>1.00047</c:v>
                </c:pt>
                <c:pt idx="186">
                  <c:v>1.0000599999999999</c:v>
                </c:pt>
                <c:pt idx="187">
                  <c:v>0.99991699999999994</c:v>
                </c:pt>
                <c:pt idx="188">
                  <c:v>1.0002800000000001</c:v>
                </c:pt>
                <c:pt idx="189">
                  <c:v>1.0005999999999999</c:v>
                </c:pt>
                <c:pt idx="190">
                  <c:v>1.0001500000000001</c:v>
                </c:pt>
                <c:pt idx="191">
                  <c:v>0.99999199999999999</c:v>
                </c:pt>
                <c:pt idx="192">
                  <c:v>1.00007</c:v>
                </c:pt>
                <c:pt idx="193">
                  <c:v>0.99980999999999998</c:v>
                </c:pt>
                <c:pt idx="194">
                  <c:v>0.99982599999999999</c:v>
                </c:pt>
                <c:pt idx="195">
                  <c:v>0.99988500000000002</c:v>
                </c:pt>
                <c:pt idx="196">
                  <c:v>0.99973400000000001</c:v>
                </c:pt>
                <c:pt idx="197">
                  <c:v>0.99969200000000003</c:v>
                </c:pt>
                <c:pt idx="198">
                  <c:v>0.99972399999999995</c:v>
                </c:pt>
                <c:pt idx="199">
                  <c:v>0.99980999999999998</c:v>
                </c:pt>
                <c:pt idx="200">
                  <c:v>0.99975800000000004</c:v>
                </c:pt>
                <c:pt idx="201">
                  <c:v>0.99960899999999997</c:v>
                </c:pt>
                <c:pt idx="202">
                  <c:v>0.99950099999999997</c:v>
                </c:pt>
                <c:pt idx="203">
                  <c:v>0.99968299999999999</c:v>
                </c:pt>
                <c:pt idx="204">
                  <c:v>0.99962399999999996</c:v>
                </c:pt>
                <c:pt idx="205">
                  <c:v>0.99947399999999997</c:v>
                </c:pt>
                <c:pt idx="206">
                  <c:v>0.99919400000000003</c:v>
                </c:pt>
                <c:pt idx="207">
                  <c:v>0.99939599999999995</c:v>
                </c:pt>
                <c:pt idx="208">
                  <c:v>0.99930200000000002</c:v>
                </c:pt>
                <c:pt idx="209">
                  <c:v>0.99936100000000005</c:v>
                </c:pt>
                <c:pt idx="210">
                  <c:v>0.99924800000000003</c:v>
                </c:pt>
                <c:pt idx="211">
                  <c:v>0.99920500000000001</c:v>
                </c:pt>
                <c:pt idx="212">
                  <c:v>0.99897100000000005</c:v>
                </c:pt>
                <c:pt idx="213">
                  <c:v>0.99894700000000003</c:v>
                </c:pt>
                <c:pt idx="214">
                  <c:v>0.999027</c:v>
                </c:pt>
                <c:pt idx="215">
                  <c:v>0.99890500000000004</c:v>
                </c:pt>
                <c:pt idx="216">
                  <c:v>0.99843300000000001</c:v>
                </c:pt>
                <c:pt idx="217">
                  <c:v>0.99864399999999998</c:v>
                </c:pt>
                <c:pt idx="218">
                  <c:v>0.99835499999999999</c:v>
                </c:pt>
                <c:pt idx="219">
                  <c:v>0.99812900000000004</c:v>
                </c:pt>
                <c:pt idx="220">
                  <c:v>0.99814199999999997</c:v>
                </c:pt>
                <c:pt idx="221">
                  <c:v>0.99791600000000003</c:v>
                </c:pt>
                <c:pt idx="222">
                  <c:v>0.99773400000000001</c:v>
                </c:pt>
                <c:pt idx="223">
                  <c:v>0.99738400000000005</c:v>
                </c:pt>
                <c:pt idx="224">
                  <c:v>0.99713499999999999</c:v>
                </c:pt>
                <c:pt idx="225">
                  <c:v>0.99671900000000002</c:v>
                </c:pt>
                <c:pt idx="226">
                  <c:v>0.99638300000000002</c:v>
                </c:pt>
                <c:pt idx="227">
                  <c:v>0.99612199999999995</c:v>
                </c:pt>
                <c:pt idx="228">
                  <c:v>0.99610200000000004</c:v>
                </c:pt>
                <c:pt idx="229">
                  <c:v>0.99574300000000004</c:v>
                </c:pt>
                <c:pt idx="230">
                  <c:v>0.99516000000000004</c:v>
                </c:pt>
                <c:pt idx="231">
                  <c:v>0.99487300000000001</c:v>
                </c:pt>
                <c:pt idx="232">
                  <c:v>0.99493699999999996</c:v>
                </c:pt>
                <c:pt idx="233">
                  <c:v>0.99471299999999996</c:v>
                </c:pt>
                <c:pt idx="234">
                  <c:v>0.99402199999999996</c:v>
                </c:pt>
                <c:pt idx="235">
                  <c:v>0.99350799999999995</c:v>
                </c:pt>
                <c:pt idx="236">
                  <c:v>0.99259299999999995</c:v>
                </c:pt>
                <c:pt idx="237">
                  <c:v>0.99211000000000005</c:v>
                </c:pt>
                <c:pt idx="238">
                  <c:v>0.99214599999999997</c:v>
                </c:pt>
                <c:pt idx="239">
                  <c:v>0.99177999999999999</c:v>
                </c:pt>
                <c:pt idx="240">
                  <c:v>0.99150899999999997</c:v>
                </c:pt>
                <c:pt idx="241">
                  <c:v>0.99105200000000004</c:v>
                </c:pt>
                <c:pt idx="242">
                  <c:v>0.99178900000000003</c:v>
                </c:pt>
                <c:pt idx="243">
                  <c:v>0.99216000000000004</c:v>
                </c:pt>
                <c:pt idx="244">
                  <c:v>0.993672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097-48F7-81EA-D828FC54EB29}"/>
            </c:ext>
          </c:extLst>
        </c:ser>
        <c:ser>
          <c:idx val="1"/>
          <c:order val="1"/>
          <c:tx>
            <c:strRef>
              <c:f>'1_Rh110 in H20'!$E$1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'1_Rh110 in H20'!$A$3:$A$252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'1_Rh110 in H20'!$E$3:$E$200</c:f>
              <c:numCache>
                <c:formatCode>General</c:formatCode>
                <c:ptCount val="198"/>
                <c:pt idx="0">
                  <c:v>1.2439057199897248</c:v>
                </c:pt>
                <c:pt idx="1">
                  <c:v>1.2438870142834795</c:v>
                </c:pt>
                <c:pt idx="2">
                  <c:v>1.2438683248714193</c:v>
                </c:pt>
                <c:pt idx="3">
                  <c:v>1.2438496517347464</c:v>
                </c:pt>
                <c:pt idx="4">
                  <c:v>1.2438309948546851</c:v>
                </c:pt>
                <c:pt idx="5">
                  <c:v>1.2438123542124819</c:v>
                </c:pt>
                <c:pt idx="6">
                  <c:v>1.2437937297894051</c:v>
                </c:pt>
                <c:pt idx="7">
                  <c:v>1.2437751215667445</c:v>
                </c:pt>
                <c:pt idx="8">
                  <c:v>1.2437565295258119</c:v>
                </c:pt>
                <c:pt idx="9">
                  <c:v>1.2437379536479416</c:v>
                </c:pt>
                <c:pt idx="10">
                  <c:v>1.2437193939144884</c:v>
                </c:pt>
                <c:pt idx="11">
                  <c:v>1.2437008503068301</c:v>
                </c:pt>
                <c:pt idx="12">
                  <c:v>1.2436823228063654</c:v>
                </c:pt>
                <c:pt idx="13">
                  <c:v>1.2436638113945149</c:v>
                </c:pt>
                <c:pt idx="14">
                  <c:v>1.2436453160527212</c:v>
                </c:pt>
                <c:pt idx="15">
                  <c:v>1.2436083735051824</c:v>
                </c:pt>
                <c:pt idx="16">
                  <c:v>1.2435714950157202</c:v>
                </c:pt>
                <c:pt idx="17">
                  <c:v>1.2435346804366521</c:v>
                </c:pt>
                <c:pt idx="18">
                  <c:v>1.2434979296206401</c:v>
                </c:pt>
                <c:pt idx="19">
                  <c:v>1.2434612424206899</c:v>
                </c:pt>
                <c:pt idx="20">
                  <c:v>1.2434246186901499</c:v>
                </c:pt>
                <c:pt idx="21">
                  <c:v>1.2433880582827106</c:v>
                </c:pt>
                <c:pt idx="22">
                  <c:v>1.2433515610524044</c:v>
                </c:pt>
                <c:pt idx="23">
                  <c:v>1.243278755541021</c:v>
                </c:pt>
                <c:pt idx="24">
                  <c:v>1.2432062009950524</c:v>
                </c:pt>
                <c:pt idx="25">
                  <c:v>1.2431338962589631</c:v>
                </c:pt>
                <c:pt idx="26">
                  <c:v>1.2430618401826019</c:v>
                </c:pt>
                <c:pt idx="27">
                  <c:v>1.242990031621179</c:v>
                </c:pt>
                <c:pt idx="28">
                  <c:v>1.2429184694352393</c:v>
                </c:pt>
                <c:pt idx="29">
                  <c:v>1.2428471524906386</c:v>
                </c:pt>
                <c:pt idx="30">
                  <c:v>1.2427760796585183</c:v>
                </c:pt>
                <c:pt idx="31">
                  <c:v>1.2426346618425652</c:v>
                </c:pt>
                <c:pt idx="32">
                  <c:v>1.242494207061291</c:v>
                </c:pt>
                <c:pt idx="33">
                  <c:v>1.2423547064716123</c:v>
                </c:pt>
                <c:pt idx="34">
                  <c:v>1.2422161513126784</c:v>
                </c:pt>
                <c:pt idx="35">
                  <c:v>1.2420785329051054</c:v>
                </c:pt>
                <c:pt idx="36">
                  <c:v>1.2419418426502189</c:v>
                </c:pt>
                <c:pt idx="37">
                  <c:v>1.2418060720293016</c:v>
                </c:pt>
                <c:pt idx="38">
                  <c:v>1.2416712126028497</c:v>
                </c:pt>
                <c:pt idx="39">
                  <c:v>1.2414041939669769</c:v>
                </c:pt>
                <c:pt idx="40">
                  <c:v>1.2411407207829892</c:v>
                </c:pt>
                <c:pt idx="41">
                  <c:v>1.240880728312209</c:v>
                </c:pt>
                <c:pt idx="42">
                  <c:v>1.2406241530142676</c:v>
                </c:pt>
                <c:pt idx="43">
                  <c:v>1.240370932524903</c:v>
                </c:pt>
                <c:pt idx="44">
                  <c:v>1.2401210056341663</c:v>
                </c:pt>
                <c:pt idx="45">
                  <c:v>1.2398743122650344</c:v>
                </c:pt>
                <c:pt idx="46">
                  <c:v>1.239630793452418</c:v>
                </c:pt>
                <c:pt idx="47">
                  <c:v>1.2391530490728075</c:v>
                </c:pt>
                <c:pt idx="48">
                  <c:v>1.2386873222398842</c:v>
                </c:pt>
                <c:pt idx="49">
                  <c:v>1.2382331792096648</c:v>
                </c:pt>
                <c:pt idx="50">
                  <c:v>1.2377902021434541</c:v>
                </c:pt>
                <c:pt idx="51">
                  <c:v>1.2373579885239252</c:v>
                </c:pt>
                <c:pt idx="52">
                  <c:v>1.2369361505926477</c:v>
                </c:pt>
                <c:pt idx="53">
                  <c:v>1.2365243148082723</c:v>
                </c:pt>
                <c:pt idx="54">
                  <c:v>1.2361221213246154</c:v>
                </c:pt>
                <c:pt idx="55">
                  <c:v>1.2353452873525221</c:v>
                </c:pt>
                <c:pt idx="56">
                  <c:v>1.2346030251619511</c:v>
                </c:pt>
                <c:pt idx="57">
                  <c:v>1.2338929000467569</c:v>
                </c:pt>
                <c:pt idx="58">
                  <c:v>1.23321265250218</c:v>
                </c:pt>
                <c:pt idx="59">
                  <c:v>1.2325601855989718</c:v>
                </c:pt>
                <c:pt idx="60">
                  <c:v>1.2319335532677762</c:v>
                </c:pt>
                <c:pt idx="61">
                  <c:v>1.231330949428123</c:v>
                </c:pt>
                <c:pt idx="62">
                  <c:v>1.2307506979011156</c:v>
                </c:pt>
                <c:pt idx="63">
                  <c:v>1.2296511410912976</c:v>
                </c:pt>
                <c:pt idx="64">
                  <c:v>1.2286237322365441</c:v>
                </c:pt>
                <c:pt idx="65">
                  <c:v>1.2276588661447201</c:v>
                </c:pt>
                <c:pt idx="66">
                  <c:v>1.2267482683781288</c:v>
                </c:pt>
                <c:pt idx="67">
                  <c:v>1.2258848104266351</c:v>
                </c:pt>
                <c:pt idx="68">
                  <c:v>1.2250623505628631</c:v>
                </c:pt>
                <c:pt idx="69">
                  <c:v>1.2242755968097381</c:v>
                </c:pt>
                <c:pt idx="70">
                  <c:v>1.2235199889469879</c:v>
                </c:pt>
                <c:pt idx="71">
                  <c:v>1.2220870333064773</c:v>
                </c:pt>
                <c:pt idx="72">
                  <c:v>1.2207381136391007</c:v>
                </c:pt>
                <c:pt idx="73">
                  <c:v>1.2194543717318105</c:v>
                </c:pt>
                <c:pt idx="74">
                  <c:v>1.2182217791427179</c:v>
                </c:pt>
                <c:pt idx="75">
                  <c:v>1.2170298899596876</c:v>
                </c:pt>
                <c:pt idx="76">
                  <c:v>1.2158709159192693</c:v>
                </c:pt>
                <c:pt idx="77">
                  <c:v>1.2147390405437939</c:v>
                </c:pt>
                <c:pt idx="78">
                  <c:v>1.2136299105071662</c:v>
                </c:pt>
                <c:pt idx="79">
                  <c:v>1.211467623049568</c:v>
                </c:pt>
                <c:pt idx="80">
                  <c:v>1.2093663969857231</c:v>
                </c:pt>
                <c:pt idx="81">
                  <c:v>1.2073160132960596</c:v>
                </c:pt>
                <c:pt idx="82">
                  <c:v>1.2053103639748057</c:v>
                </c:pt>
                <c:pt idx="83">
                  <c:v>1.203345621121565</c:v>
                </c:pt>
                <c:pt idx="84">
                  <c:v>1.2014192287614631</c:v>
                </c:pt>
                <c:pt idx="85">
                  <c:v>1.1995293473113346</c:v>
                </c:pt>
                <c:pt idx="86">
                  <c:v>1.1976745471259387</c:v>
                </c:pt>
                <c:pt idx="87">
                  <c:v>1.194065580977304</c:v>
                </c:pt>
                <c:pt idx="88">
                  <c:v>1.1905842872336856</c:v>
                </c:pt>
                <c:pt idx="89">
                  <c:v>1.1872237686591423</c:v>
                </c:pt>
                <c:pt idx="90">
                  <c:v>1.183977776558</c:v>
                </c:pt>
                <c:pt idx="91">
                  <c:v>1.180840534998189</c:v>
                </c:pt>
                <c:pt idx="92">
                  <c:v>1.1778066649585783</c:v>
                </c:pt>
                <c:pt idx="93">
                  <c:v>1.1748711409529231</c:v>
                </c:pt>
                <c:pt idx="94">
                  <c:v>1.1720292594380508</c:v>
                </c:pt>
                <c:pt idx="95">
                  <c:v>1.1666090647988447</c:v>
                </c:pt>
                <c:pt idx="96">
                  <c:v>1.1615139648556236</c:v>
                </c:pt>
                <c:pt idx="97">
                  <c:v>1.1567155816653361</c:v>
                </c:pt>
                <c:pt idx="98">
                  <c:v>1.1521887467148226</c:v>
                </c:pt>
                <c:pt idx="99">
                  <c:v>1.1479110596529827</c:v>
                </c:pt>
                <c:pt idx="100">
                  <c:v>1.1438625179021056</c:v>
                </c:pt>
                <c:pt idx="101">
                  <c:v>1.1400252041923422</c:v>
                </c:pt>
                <c:pt idx="102">
                  <c:v>1.1363830217179067</c:v>
                </c:pt>
                <c:pt idx="103">
                  <c:v>1.1296274453952984</c:v>
                </c:pt>
                <c:pt idx="104">
                  <c:v>1.1234956308775317</c:v>
                </c:pt>
                <c:pt idx="105">
                  <c:v>1.1179050813443727</c:v>
                </c:pt>
                <c:pt idx="106">
                  <c:v>1.1127872327458448</c:v>
                </c:pt>
                <c:pt idx="107">
                  <c:v>1.108084631611544</c:v>
                </c:pt>
                <c:pt idx="108">
                  <c:v>1.1037487721393584</c:v>
                </c:pt>
                <c:pt idx="109">
                  <c:v>1.0997384196172522</c:v>
                </c:pt>
                <c:pt idx="110">
                  <c:v>1.0960182972084556</c:v>
                </c:pt>
                <c:pt idx="111">
                  <c:v>1.0893314035235255</c:v>
                </c:pt>
                <c:pt idx="112">
                  <c:v>1.0834904467805986</c:v>
                </c:pt>
                <c:pt idx="113">
                  <c:v>1.0783447234447148</c:v>
                </c:pt>
                <c:pt idx="114">
                  <c:v>1.0737773162891968</c:v>
                </c:pt>
                <c:pt idx="115">
                  <c:v>1.069696128773439</c:v>
                </c:pt>
                <c:pt idx="116">
                  <c:v>1.0660276305033314</c:v>
                </c:pt>
                <c:pt idx="117">
                  <c:v>1.0627124032363602</c:v>
                </c:pt>
                <c:pt idx="118">
                  <c:v>1.0597019103908172</c:v>
                </c:pt>
                <c:pt idx="119">
                  <c:v>1.0544416977827087</c:v>
                </c:pt>
                <c:pt idx="120">
                  <c:v>1.0499995065494401</c:v>
                </c:pt>
                <c:pt idx="121">
                  <c:v>1.0461989649007337</c:v>
                </c:pt>
                <c:pt idx="122">
                  <c:v>1.0429109850980571</c:v>
                </c:pt>
                <c:pt idx="123">
                  <c:v>1.0400389138282768</c:v>
                </c:pt>
                <c:pt idx="124">
                  <c:v>1.0375089480717834</c:v>
                </c:pt>
                <c:pt idx="125">
                  <c:v>1.0352637597549734</c:v>
                </c:pt>
                <c:pt idx="126">
                  <c:v>1.0332581420722085</c:v>
                </c:pt>
                <c:pt idx="127">
                  <c:v>1.0298280158869386</c:v>
                </c:pt>
                <c:pt idx="128">
                  <c:v>1.0270034110805815</c:v>
                </c:pt>
                <c:pt idx="129">
                  <c:v>1.0246382570402932</c:v>
                </c:pt>
                <c:pt idx="130">
                  <c:v>1.0226299064816959</c:v>
                </c:pt>
                <c:pt idx="131">
                  <c:v>1.0209041198486168</c:v>
                </c:pt>
                <c:pt idx="132">
                  <c:v>1.0194058771415546</c:v>
                </c:pt>
                <c:pt idx="133">
                  <c:v>1.0180935389953079</c:v>
                </c:pt>
                <c:pt idx="134">
                  <c:v>1.0169350142697551</c:v>
                </c:pt>
                <c:pt idx="135">
                  <c:v>1.0149840587500418</c:v>
                </c:pt>
                <c:pt idx="136">
                  <c:v>1.0134068079778877</c:v>
                </c:pt>
                <c:pt idx="137">
                  <c:v>1.0121069955054034</c:v>
                </c:pt>
                <c:pt idx="138">
                  <c:v>1.0110186680431841</c:v>
                </c:pt>
                <c:pt idx="139">
                  <c:v>1.0100951389521837</c:v>
                </c:pt>
                <c:pt idx="140">
                  <c:v>1.009302442337618</c:v>
                </c:pt>
                <c:pt idx="141">
                  <c:v>1.0086152847906902</c:v>
                </c:pt>
                <c:pt idx="142">
                  <c:v>1.0080144496196906</c:v>
                </c:pt>
                <c:pt idx="143">
                  <c:v>1.0070155126062375</c:v>
                </c:pt>
                <c:pt idx="144">
                  <c:v>1.0062204646489148</c:v>
                </c:pt>
                <c:pt idx="145">
                  <c:v>1.0055743320737771</c:v>
                </c:pt>
                <c:pt idx="146">
                  <c:v>1.0050400860231108</c:v>
                </c:pt>
                <c:pt idx="147">
                  <c:v>1.0045919011734157</c:v>
                </c:pt>
                <c:pt idx="148">
                  <c:v>1.0042112358662378</c:v>
                </c:pt>
                <c:pt idx="149">
                  <c:v>1.0038844469426909</c:v>
                </c:pt>
                <c:pt idx="150">
                  <c:v>1.0036012819218589</c:v>
                </c:pt>
                <c:pt idx="151">
                  <c:v>1.0031361817010707</c:v>
                </c:pt>
                <c:pt idx="152">
                  <c:v>1.0027714978262978</c:v>
                </c:pt>
                <c:pt idx="153">
                  <c:v>1.0024790308858869</c:v>
                </c:pt>
                <c:pt idx="154">
                  <c:v>1.0022400734918127</c:v>
                </c:pt>
                <c:pt idx="155">
                  <c:v>1.0020417572902531</c:v>
                </c:pt>
                <c:pt idx="156">
                  <c:v>1.0018749593164389</c:v>
                </c:pt>
                <c:pt idx="157">
                  <c:v>1.0017330445965891</c:v>
                </c:pt>
                <c:pt idx="158">
                  <c:v>1.0016110807376029</c:v>
                </c:pt>
                <c:pt idx="159">
                  <c:v>1.0014129152369518</c:v>
                </c:pt>
                <c:pt idx="160">
                  <c:v>1.001259552503214</c:v>
                </c:pt>
                <c:pt idx="161">
                  <c:v>1.0011379464651236</c:v>
                </c:pt>
                <c:pt idx="162">
                  <c:v>1.0010395715914917</c:v>
                </c:pt>
                <c:pt idx="163">
                  <c:v>1.0009586416338041</c:v>
                </c:pt>
                <c:pt idx="164">
                  <c:v>1.0008911037150436</c:v>
                </c:pt>
                <c:pt idx="165">
                  <c:v>1.0008340422801933</c:v>
                </c:pt>
                <c:pt idx="166">
                  <c:v>1.0007853113467617</c:v>
                </c:pt>
                <c:pt idx="167">
                  <c:v>1.0007067761763033</c:v>
                </c:pt>
                <c:pt idx="168">
                  <c:v>1.0006465771180306</c:v>
                </c:pt>
                <c:pt idx="169">
                  <c:v>1.0005992285147067</c:v>
                </c:pt>
                <c:pt idx="170">
                  <c:v>1.0005611898020303</c:v>
                </c:pt>
                <c:pt idx="171">
                  <c:v>1.0005300837282751</c:v>
                </c:pt>
                <c:pt idx="172">
                  <c:v>1.0005042607802257</c:v>
                </c:pt>
                <c:pt idx="173">
                  <c:v>1.0004825441365746</c:v>
                </c:pt>
                <c:pt idx="174">
                  <c:v>1.0004640739645749</c:v>
                </c:pt>
                <c:pt idx="175">
                  <c:v>1.0004344619119894</c:v>
                </c:pt>
                <c:pt idx="176">
                  <c:v>1.000411900004369</c:v>
                </c:pt>
                <c:pt idx="177">
                  <c:v>1.0003942426820662</c:v>
                </c:pt>
                <c:pt idx="178">
                  <c:v>1.0003801167276445</c:v>
                </c:pt>
                <c:pt idx="179">
                  <c:v>1.0003686066356345</c:v>
                </c:pt>
                <c:pt idx="180">
                  <c:v>1.0003590810096505</c:v>
                </c:pt>
                <c:pt idx="181">
                  <c:v>1.0003510917550575</c:v>
                </c:pt>
                <c:pt idx="182">
                  <c:v>1.0003443129811258</c:v>
                </c:pt>
                <c:pt idx="183">
                  <c:v>1.0003334773919419</c:v>
                </c:pt>
                <c:pt idx="184">
                  <c:v>1.0003252497516517</c:v>
                </c:pt>
                <c:pt idx="185">
                  <c:v>1.0003188286576781</c:v>
                </c:pt>
                <c:pt idx="186">
                  <c:v>1.000313703719629</c:v>
                </c:pt>
                <c:pt idx="187">
                  <c:v>1.0003095360658809</c:v>
                </c:pt>
                <c:pt idx="188">
                  <c:v>1.0003060928004004</c:v>
                </c:pt>
                <c:pt idx="189">
                  <c:v>1.000303209133143</c:v>
                </c:pt>
                <c:pt idx="190">
                  <c:v>1.000300765525904</c:v>
                </c:pt>
                <c:pt idx="191">
                  <c:v>1.0002968657801972</c:v>
                </c:pt>
                <c:pt idx="192">
                  <c:v>1.0002939100414932</c:v>
                </c:pt>
                <c:pt idx="193">
                  <c:v>1.0002916067191101</c:v>
                </c:pt>
                <c:pt idx="194">
                  <c:v>1.0002897706065925</c:v>
                </c:pt>
                <c:pt idx="195">
                  <c:v>1.0002882790102787</c:v>
                </c:pt>
                <c:pt idx="196">
                  <c:v>1.0002870477642973</c:v>
                </c:pt>
                <c:pt idx="197">
                  <c:v>1.0002860174104975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097-48F7-81EA-D828FC54E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34112"/>
        <c:axId val="151044096"/>
      </c:scatterChart>
      <c:valAx>
        <c:axId val="151034112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1044096"/>
        <c:crosses val="autoZero"/>
        <c:crossBetween val="midCat"/>
      </c:valAx>
      <c:valAx>
        <c:axId val="151044096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1034112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767787980657154"/>
          <c:y val="7.1583514099783085E-2"/>
          <c:w val="0.11688333370936088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747195994440089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'1_Rh110 in H20'!$F$1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'1_Rh110 in H20'!$A$3:$A$235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'1_Rh110 in H20'!$F$3:$F$200</c:f>
              <c:numCache>
                <c:formatCode>General</c:formatCode>
                <c:ptCount val="198"/>
                <c:pt idx="0">
                  <c:v>-1.8095719989724701E-2</c:v>
                </c:pt>
                <c:pt idx="1">
                  <c:v>-6.8870142834793757E-3</c:v>
                </c:pt>
                <c:pt idx="2">
                  <c:v>3.2116751285806711E-3</c:v>
                </c:pt>
                <c:pt idx="3">
                  <c:v>1.1903482652535491E-3</c:v>
                </c:pt>
                <c:pt idx="4">
                  <c:v>-1.1810994854685175E-2</c:v>
                </c:pt>
                <c:pt idx="5">
                  <c:v>1.557764578751808E-2</c:v>
                </c:pt>
                <c:pt idx="6">
                  <c:v>1.6562702105948901E-3</c:v>
                </c:pt>
                <c:pt idx="7">
                  <c:v>1.1648784332554118E-3</c:v>
                </c:pt>
                <c:pt idx="8">
                  <c:v>1.4413470474188061E-2</c:v>
                </c:pt>
                <c:pt idx="9">
                  <c:v>1.9522046352058453E-2</c:v>
                </c:pt>
                <c:pt idx="10">
                  <c:v>-1.5869393914488272E-2</c:v>
                </c:pt>
                <c:pt idx="11">
                  <c:v>1.0909149693169917E-2</c:v>
                </c:pt>
                <c:pt idx="12">
                  <c:v>-1.0752322806365289E-2</c:v>
                </c:pt>
                <c:pt idx="13">
                  <c:v>-1.3983811394514767E-2</c:v>
                </c:pt>
                <c:pt idx="14">
                  <c:v>5.9246839472788526E-3</c:v>
                </c:pt>
                <c:pt idx="15">
                  <c:v>-6.5583735051824021E-3</c:v>
                </c:pt>
                <c:pt idx="16">
                  <c:v>1.1648504984279828E-2</c:v>
                </c:pt>
                <c:pt idx="17">
                  <c:v>2.3485319563347984E-2</c:v>
                </c:pt>
                <c:pt idx="18">
                  <c:v>2.1020703793599438E-3</c:v>
                </c:pt>
                <c:pt idx="19">
                  <c:v>-2.2131242420689867E-2</c:v>
                </c:pt>
                <c:pt idx="20">
                  <c:v>-1.4004618690149906E-2</c:v>
                </c:pt>
                <c:pt idx="21">
                  <c:v>3.9419417172894544E-3</c:v>
                </c:pt>
                <c:pt idx="22">
                  <c:v>-5.2015610524043243E-3</c:v>
                </c:pt>
                <c:pt idx="23">
                  <c:v>-6.8387555410209799E-3</c:v>
                </c:pt>
                <c:pt idx="24">
                  <c:v>-6.2062009950523134E-3</c:v>
                </c:pt>
                <c:pt idx="25">
                  <c:v>4.1461037410368551E-3</c:v>
                </c:pt>
                <c:pt idx="26">
                  <c:v>-4.7818401826018597E-3</c:v>
                </c:pt>
                <c:pt idx="27">
                  <c:v>-5.6300316211790324E-3</c:v>
                </c:pt>
                <c:pt idx="28">
                  <c:v>5.4153056476069494E-4</c:v>
                </c:pt>
                <c:pt idx="29">
                  <c:v>5.5228475093613838E-3</c:v>
                </c:pt>
                <c:pt idx="30">
                  <c:v>-3.0160796585183558E-3</c:v>
                </c:pt>
                <c:pt idx="31">
                  <c:v>-2.4661842565221193E-5</c:v>
                </c:pt>
                <c:pt idx="32">
                  <c:v>6.0457929387089937E-3</c:v>
                </c:pt>
                <c:pt idx="33">
                  <c:v>-1.9047064716122275E-3</c:v>
                </c:pt>
                <c:pt idx="34">
                  <c:v>2.5384868732158949E-4</c:v>
                </c:pt>
                <c:pt idx="35">
                  <c:v>-7.0853290510530798E-4</c:v>
                </c:pt>
                <c:pt idx="36">
                  <c:v>-7.4184265021881579E-4</c:v>
                </c:pt>
                <c:pt idx="37">
                  <c:v>-9.6072029301508266E-5</c:v>
                </c:pt>
                <c:pt idx="38">
                  <c:v>-1.2121260284980728E-4</c:v>
                </c:pt>
                <c:pt idx="39">
                  <c:v>1.3580603302321137E-4</c:v>
                </c:pt>
                <c:pt idx="40">
                  <c:v>1.6092792170108172E-3</c:v>
                </c:pt>
                <c:pt idx="41">
                  <c:v>-4.3107283122090223E-3</c:v>
                </c:pt>
                <c:pt idx="42">
                  <c:v>1.9758469857322769E-3</c:v>
                </c:pt>
                <c:pt idx="43">
                  <c:v>-5.2709325249029604E-3</c:v>
                </c:pt>
                <c:pt idx="44">
                  <c:v>6.5889943658337113E-3</c:v>
                </c:pt>
                <c:pt idx="45">
                  <c:v>4.4156877349654788E-3</c:v>
                </c:pt>
                <c:pt idx="46">
                  <c:v>1.5692065475820804E-3</c:v>
                </c:pt>
                <c:pt idx="47">
                  <c:v>2.2469509271925148E-3</c:v>
                </c:pt>
                <c:pt idx="48">
                  <c:v>-1.2573222398841732E-3</c:v>
                </c:pt>
                <c:pt idx="49">
                  <c:v>5.6820790335088134E-5</c:v>
                </c:pt>
                <c:pt idx="50">
                  <c:v>1.4397978565459102E-3</c:v>
                </c:pt>
                <c:pt idx="51">
                  <c:v>-3.8798852392529781E-4</c:v>
                </c:pt>
                <c:pt idx="52">
                  <c:v>-3.461505926476427E-4</c:v>
                </c:pt>
                <c:pt idx="53">
                  <c:v>-1.964314808272194E-3</c:v>
                </c:pt>
                <c:pt idx="54">
                  <c:v>-4.0212132461547867E-4</c:v>
                </c:pt>
                <c:pt idx="55">
                  <c:v>1.8947126474777587E-3</c:v>
                </c:pt>
                <c:pt idx="56">
                  <c:v>-4.5302516195100395E-4</c:v>
                </c:pt>
                <c:pt idx="57">
                  <c:v>1.9709995324301843E-4</c:v>
                </c:pt>
                <c:pt idx="58">
                  <c:v>3.7673474978199284E-3</c:v>
                </c:pt>
                <c:pt idx="59">
                  <c:v>-2.1301855989719343E-3</c:v>
                </c:pt>
                <c:pt idx="60">
                  <c:v>-7.1355326777622352E-4</c:v>
                </c:pt>
                <c:pt idx="61">
                  <c:v>-1.4009494281230772E-3</c:v>
                </c:pt>
                <c:pt idx="62">
                  <c:v>6.0930209888443443E-4</c:v>
                </c:pt>
                <c:pt idx="63">
                  <c:v>-1.9811410912975447E-3</c:v>
                </c:pt>
                <c:pt idx="64">
                  <c:v>1.762677634558063E-4</c:v>
                </c:pt>
                <c:pt idx="65">
                  <c:v>2.2113385527999796E-4</c:v>
                </c:pt>
                <c:pt idx="66">
                  <c:v>-2.2282683781287282E-3</c:v>
                </c:pt>
                <c:pt idx="67">
                  <c:v>-5.648104266351428E-4</c:v>
                </c:pt>
                <c:pt idx="68">
                  <c:v>-1.5235056286311277E-4</c:v>
                </c:pt>
                <c:pt idx="69">
                  <c:v>9.844031902619399E-4</c:v>
                </c:pt>
                <c:pt idx="70">
                  <c:v>3.0001105301202813E-4</c:v>
                </c:pt>
                <c:pt idx="71">
                  <c:v>-7.1703330647721053E-4</c:v>
                </c:pt>
                <c:pt idx="72">
                  <c:v>-1.1081136391006829E-3</c:v>
                </c:pt>
                <c:pt idx="73">
                  <c:v>1.8456282681895697E-3</c:v>
                </c:pt>
                <c:pt idx="74">
                  <c:v>6.482208572820003E-4</c:v>
                </c:pt>
                <c:pt idx="75">
                  <c:v>3.9011004031230812E-4</c:v>
                </c:pt>
                <c:pt idx="76">
                  <c:v>3.1908408073078043E-4</c:v>
                </c:pt>
                <c:pt idx="77">
                  <c:v>-1.0890405437939954E-3</c:v>
                </c:pt>
                <c:pt idx="78">
                  <c:v>-4.6991050716616023E-4</c:v>
                </c:pt>
                <c:pt idx="79">
                  <c:v>1.3223769504320249E-3</c:v>
                </c:pt>
                <c:pt idx="80">
                  <c:v>2.2360301427681861E-4</c:v>
                </c:pt>
                <c:pt idx="81">
                  <c:v>-4.1601329605955861E-4</c:v>
                </c:pt>
                <c:pt idx="82">
                  <c:v>3.9963602519432762E-4</c:v>
                </c:pt>
                <c:pt idx="83">
                  <c:v>2.4437887843498096E-4</c:v>
                </c:pt>
                <c:pt idx="84">
                  <c:v>1.5077123853690644E-4</c:v>
                </c:pt>
                <c:pt idx="85">
                  <c:v>-4.9347311334546617E-5</c:v>
                </c:pt>
                <c:pt idx="86">
                  <c:v>3.5545287406124615E-4</c:v>
                </c:pt>
                <c:pt idx="87">
                  <c:v>-2.5580977303985009E-5</c:v>
                </c:pt>
                <c:pt idx="88">
                  <c:v>-3.4287233685592611E-5</c:v>
                </c:pt>
                <c:pt idx="89">
                  <c:v>2.5623134085783761E-4</c:v>
                </c:pt>
                <c:pt idx="90">
                  <c:v>2.7222344200006354E-4</c:v>
                </c:pt>
                <c:pt idx="91">
                  <c:v>-7.1053499818907184E-4</c:v>
                </c:pt>
                <c:pt idx="92">
                  <c:v>2.533350414217761E-4</c:v>
                </c:pt>
                <c:pt idx="93">
                  <c:v>2.6885904707696362E-4</c:v>
                </c:pt>
                <c:pt idx="94">
                  <c:v>1.4074056194912643E-4</c:v>
                </c:pt>
                <c:pt idx="95">
                  <c:v>-4.0906479884483815E-4</c:v>
                </c:pt>
                <c:pt idx="96">
                  <c:v>-3.3396485562353639E-4</c:v>
                </c:pt>
                <c:pt idx="97">
                  <c:v>-2.9558166533605323E-4</c:v>
                </c:pt>
                <c:pt idx="98">
                  <c:v>5.1253285177299546E-5</c:v>
                </c:pt>
                <c:pt idx="99">
                  <c:v>-5.1059652982576864E-5</c:v>
                </c:pt>
                <c:pt idx="100">
                  <c:v>6.7482097894311366E-5</c:v>
                </c:pt>
                <c:pt idx="101">
                  <c:v>1.4479580765769384E-4</c:v>
                </c:pt>
                <c:pt idx="102">
                  <c:v>-3.0302171790674848E-4</c:v>
                </c:pt>
                <c:pt idx="103">
                  <c:v>-3.674453952984269E-4</c:v>
                </c:pt>
                <c:pt idx="104">
                  <c:v>-2.1563087753162513E-4</c:v>
                </c:pt>
                <c:pt idx="105">
                  <c:v>-4.5081344372643883E-5</c:v>
                </c:pt>
                <c:pt idx="106">
                  <c:v>-1.7232745844752984E-5</c:v>
                </c:pt>
                <c:pt idx="107">
                  <c:v>-3.7463161154405178E-4</c:v>
                </c:pt>
                <c:pt idx="108">
                  <c:v>-2.877213935836842E-5</c:v>
                </c:pt>
                <c:pt idx="109">
                  <c:v>-1.9841961725219903E-4</c:v>
                </c:pt>
                <c:pt idx="110">
                  <c:v>5.170279154453894E-5</c:v>
                </c:pt>
                <c:pt idx="111">
                  <c:v>-1.1403523525466142E-5</c:v>
                </c:pt>
                <c:pt idx="112">
                  <c:v>-6.0446780598688576E-5</c:v>
                </c:pt>
                <c:pt idx="113">
                  <c:v>5.5276555285255213E-5</c:v>
                </c:pt>
                <c:pt idx="114">
                  <c:v>1.3268371080310537E-4</c:v>
                </c:pt>
                <c:pt idx="115">
                  <c:v>2.9387122656099329E-4</c:v>
                </c:pt>
                <c:pt idx="116">
                  <c:v>5.2369496668536186E-5</c:v>
                </c:pt>
                <c:pt idx="117">
                  <c:v>2.0759676363990565E-4</c:v>
                </c:pt>
                <c:pt idx="118">
                  <c:v>3.380896091829122E-4</c:v>
                </c:pt>
                <c:pt idx="119">
                  <c:v>1.783022172912041E-4</c:v>
                </c:pt>
                <c:pt idx="120">
                  <c:v>-8.9506549440176997E-5</c:v>
                </c:pt>
                <c:pt idx="121">
                  <c:v>1.9103509926621243E-4</c:v>
                </c:pt>
                <c:pt idx="122">
                  <c:v>1.4901490194296763E-4</c:v>
                </c:pt>
                <c:pt idx="123">
                  <c:v>2.6108617172315718E-4</c:v>
                </c:pt>
                <c:pt idx="124">
                  <c:v>6.2105192821659827E-4</c:v>
                </c:pt>
                <c:pt idx="125">
                  <c:v>4.4624024502648574E-4</c:v>
                </c:pt>
                <c:pt idx="126">
                  <c:v>4.5185792779145473E-4</c:v>
                </c:pt>
                <c:pt idx="127">
                  <c:v>2.5198411306148749E-4</c:v>
                </c:pt>
                <c:pt idx="128">
                  <c:v>2.0658891941849333E-4</c:v>
                </c:pt>
                <c:pt idx="129">
                  <c:v>-8.8257040293138189E-5</c:v>
                </c:pt>
                <c:pt idx="130">
                  <c:v>-1.4990648169588283E-4</c:v>
                </c:pt>
                <c:pt idx="131">
                  <c:v>-4.5411984861676302E-4</c:v>
                </c:pt>
                <c:pt idx="132">
                  <c:v>-4.7587714155472582E-4</c:v>
                </c:pt>
                <c:pt idx="133">
                  <c:v>-2.7353899530790926E-4</c:v>
                </c:pt>
                <c:pt idx="134">
                  <c:v>-5.1501426975497644E-4</c:v>
                </c:pt>
                <c:pt idx="135">
                  <c:v>-6.1405875004183486E-4</c:v>
                </c:pt>
                <c:pt idx="136">
                  <c:v>-5.6680797788777326E-4</c:v>
                </c:pt>
                <c:pt idx="137">
                  <c:v>-2.0699550540337341E-4</c:v>
                </c:pt>
                <c:pt idx="138">
                  <c:v>-2.8866804318417039E-4</c:v>
                </c:pt>
                <c:pt idx="139">
                  <c:v>-5.0513895218373683E-4</c:v>
                </c:pt>
                <c:pt idx="140">
                  <c:v>-3.8244233761797197E-4</c:v>
                </c:pt>
                <c:pt idx="141">
                  <c:v>-5.5284790690279806E-5</c:v>
                </c:pt>
                <c:pt idx="142">
                  <c:v>2.1555038030940388E-4</c:v>
                </c:pt>
                <c:pt idx="143">
                  <c:v>1.9448739376248803E-4</c:v>
                </c:pt>
                <c:pt idx="144">
                  <c:v>1.6953535108510387E-4</c:v>
                </c:pt>
                <c:pt idx="145">
                  <c:v>4.0566792622298564E-4</c:v>
                </c:pt>
                <c:pt idx="146">
                  <c:v>4.9913976889248701E-5</c:v>
                </c:pt>
                <c:pt idx="147">
                  <c:v>1.380988265842209E-4</c:v>
                </c:pt>
                <c:pt idx="148">
                  <c:v>9.8764133762196948E-5</c:v>
                </c:pt>
                <c:pt idx="149">
                  <c:v>-4.4469426907500775E-6</c:v>
                </c:pt>
                <c:pt idx="150">
                  <c:v>7.8718078140971315E-5</c:v>
                </c:pt>
                <c:pt idx="151">
                  <c:v>-5.6181701070689982E-5</c:v>
                </c:pt>
                <c:pt idx="152">
                  <c:v>-2.414978262978984E-4</c:v>
                </c:pt>
                <c:pt idx="153">
                  <c:v>-3.890308858869318E-4</c:v>
                </c:pt>
                <c:pt idx="154">
                  <c:v>-4.5007349181269696E-4</c:v>
                </c:pt>
                <c:pt idx="155">
                  <c:v>-2.2175729025319946E-4</c:v>
                </c:pt>
                <c:pt idx="156">
                  <c:v>1.3504068356118282E-4</c:v>
                </c:pt>
                <c:pt idx="157">
                  <c:v>3.2695540341087792E-4</c:v>
                </c:pt>
                <c:pt idx="158">
                  <c:v>8.9192623971001694E-6</c:v>
                </c:pt>
                <c:pt idx="159">
                  <c:v>2.6708476304815321E-4</c:v>
                </c:pt>
                <c:pt idx="160">
                  <c:v>1.0044749678606024E-4</c:v>
                </c:pt>
                <c:pt idx="161">
                  <c:v>3.1205353487639975E-4</c:v>
                </c:pt>
                <c:pt idx="162">
                  <c:v>1.9042840850835852E-4</c:v>
                </c:pt>
                <c:pt idx="163">
                  <c:v>1.9135836619588176E-4</c:v>
                </c:pt>
                <c:pt idx="164">
                  <c:v>4.6889628495638824E-4</c:v>
                </c:pt>
                <c:pt idx="165">
                  <c:v>4.5957719806644093E-5</c:v>
                </c:pt>
                <c:pt idx="166">
                  <c:v>-4.5311346761778282E-5</c:v>
                </c:pt>
                <c:pt idx="167">
                  <c:v>1.6322382369660104E-4</c:v>
                </c:pt>
                <c:pt idx="168">
                  <c:v>-2.2657711803053537E-4</c:v>
                </c:pt>
                <c:pt idx="169">
                  <c:v>2.1077148529324852E-4</c:v>
                </c:pt>
                <c:pt idx="170">
                  <c:v>3.288101979697089E-4</c:v>
                </c:pt>
                <c:pt idx="171">
                  <c:v>2.5991627172494702E-4</c:v>
                </c:pt>
                <c:pt idx="172">
                  <c:v>-5.426078022563452E-5</c:v>
                </c:pt>
                <c:pt idx="173">
                  <c:v>3.4745586342554979E-4</c:v>
                </c:pt>
                <c:pt idx="174">
                  <c:v>4.5926035425081224E-5</c:v>
                </c:pt>
                <c:pt idx="175">
                  <c:v>1.4553808801065493E-4</c:v>
                </c:pt>
                <c:pt idx="176">
                  <c:v>2.5809999563097819E-4</c:v>
                </c:pt>
                <c:pt idx="177">
                  <c:v>-1.9424268206624795E-4</c:v>
                </c:pt>
                <c:pt idx="178">
                  <c:v>-5.0116727644544667E-5</c:v>
                </c:pt>
                <c:pt idx="179">
                  <c:v>3.0139336436540987E-4</c:v>
                </c:pt>
                <c:pt idx="180">
                  <c:v>-1.1908100965052348E-4</c:v>
                </c:pt>
                <c:pt idx="181">
                  <c:v>-2.510917550575531E-4</c:v>
                </c:pt>
                <c:pt idx="182">
                  <c:v>-6.4312981125747015E-5</c:v>
                </c:pt>
                <c:pt idx="183">
                  <c:v>-3.814773919419423E-4</c:v>
                </c:pt>
                <c:pt idx="184">
                  <c:v>1.4475024834825767E-4</c:v>
                </c:pt>
                <c:pt idx="185">
                  <c:v>-2.5882865767812291E-4</c:v>
                </c:pt>
                <c:pt idx="186">
                  <c:v>-3.967037196290768E-4</c:v>
                </c:pt>
                <c:pt idx="187">
                  <c:v>-2.9536065880853002E-5</c:v>
                </c:pt>
                <c:pt idx="188">
                  <c:v>2.9390719959954126E-4</c:v>
                </c:pt>
                <c:pt idx="189">
                  <c:v>-1.532091331428731E-4</c:v>
                </c:pt>
                <c:pt idx="190">
                  <c:v>-3.0876552590397566E-4</c:v>
                </c:pt>
                <c:pt idx="191">
                  <c:v>-2.2686578019714965E-4</c:v>
                </c:pt>
                <c:pt idx="192">
                  <c:v>-4.8391004149317407E-4</c:v>
                </c:pt>
                <c:pt idx="193">
                  <c:v>-4.6560671911011209E-4</c:v>
                </c:pt>
                <c:pt idx="194">
                  <c:v>-4.047706065924972E-4</c:v>
                </c:pt>
                <c:pt idx="195">
                  <c:v>-5.5427901027871318E-4</c:v>
                </c:pt>
                <c:pt idx="196">
                  <c:v>-5.9504776429730732E-4</c:v>
                </c:pt>
                <c:pt idx="197">
                  <c:v>-5.6201741049755061E-4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A93-4ACF-92D6-319BADE28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80256"/>
        <c:axId val="150881792"/>
      </c:scatterChart>
      <c:valAx>
        <c:axId val="150880256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0881792"/>
        <c:crosses val="autoZero"/>
        <c:crossBetween val="midCat"/>
      </c:valAx>
      <c:valAx>
        <c:axId val="15088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0880256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227994494957471"/>
          <c:y val="0.12280701754385964"/>
          <c:w val="0.11688318329836278"/>
          <c:h val="9.941520467836256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229050279329603E-2"/>
          <c:y val="4.9891540130151846E-2"/>
          <c:w val="0.88175046554934822"/>
          <c:h val="0.8676789587852494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'2_Rh110 in H20'!$B$1</c:f>
              <c:strCache>
                <c:ptCount val="1"/>
                <c:pt idx="0">
                  <c:v>Rh110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'2_Rh110 in H20'!$A$2:$A$244</c:f>
              <c:numCache>
                <c:formatCode>General</c:formatCode>
                <c:ptCount val="243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</c:numCache>
            </c:numRef>
          </c:xVal>
          <c:yVal>
            <c:numRef>
              <c:f>'2_Rh110 in H20'!$B$2:$B$244</c:f>
              <c:numCache>
                <c:formatCode>General</c:formatCode>
                <c:ptCount val="243"/>
                <c:pt idx="0">
                  <c:v>1.15476</c:v>
                </c:pt>
                <c:pt idx="1">
                  <c:v>1.2052099999999999</c:v>
                </c:pt>
                <c:pt idx="2">
                  <c:v>1.22672</c:v>
                </c:pt>
                <c:pt idx="3">
                  <c:v>1.2339899999999999</c:v>
                </c:pt>
                <c:pt idx="4">
                  <c:v>1.23891</c:v>
                </c:pt>
                <c:pt idx="5">
                  <c:v>1.24292</c:v>
                </c:pt>
                <c:pt idx="6">
                  <c:v>1.24614</c:v>
                </c:pt>
                <c:pt idx="7">
                  <c:v>1.23624</c:v>
                </c:pt>
                <c:pt idx="8">
                  <c:v>1.26813</c:v>
                </c:pt>
                <c:pt idx="9">
                  <c:v>1.2447900000000001</c:v>
                </c:pt>
                <c:pt idx="10">
                  <c:v>1.25007</c:v>
                </c:pt>
                <c:pt idx="11">
                  <c:v>1.23203</c:v>
                </c:pt>
                <c:pt idx="12">
                  <c:v>1.2380199999999999</c:v>
                </c:pt>
                <c:pt idx="13">
                  <c:v>1.22681</c:v>
                </c:pt>
                <c:pt idx="14">
                  <c:v>1.24488</c:v>
                </c:pt>
                <c:pt idx="15">
                  <c:v>1.2376199999999999</c:v>
                </c:pt>
                <c:pt idx="16">
                  <c:v>1.2267699999999999</c:v>
                </c:pt>
                <c:pt idx="17">
                  <c:v>1.24587</c:v>
                </c:pt>
                <c:pt idx="18">
                  <c:v>1.2365299999999999</c:v>
                </c:pt>
                <c:pt idx="19">
                  <c:v>1.2504900000000001</c:v>
                </c:pt>
                <c:pt idx="20">
                  <c:v>1.2266600000000001</c:v>
                </c:pt>
                <c:pt idx="21">
                  <c:v>1.24356</c:v>
                </c:pt>
                <c:pt idx="22">
                  <c:v>1.23604</c:v>
                </c:pt>
                <c:pt idx="23">
                  <c:v>1.23725</c:v>
                </c:pt>
                <c:pt idx="24">
                  <c:v>1.2376499999999999</c:v>
                </c:pt>
                <c:pt idx="25">
                  <c:v>1.2412099999999999</c:v>
                </c:pt>
                <c:pt idx="26">
                  <c:v>1.2383900000000001</c:v>
                </c:pt>
                <c:pt idx="27">
                  <c:v>1.2485200000000001</c:v>
                </c:pt>
                <c:pt idx="28">
                  <c:v>1.2331099999999999</c:v>
                </c:pt>
                <c:pt idx="29">
                  <c:v>1.2404900000000001</c:v>
                </c:pt>
                <c:pt idx="30">
                  <c:v>1.2289600000000001</c:v>
                </c:pt>
                <c:pt idx="31">
                  <c:v>1.2376100000000001</c:v>
                </c:pt>
                <c:pt idx="32">
                  <c:v>1.24857</c:v>
                </c:pt>
                <c:pt idx="33">
                  <c:v>1.2432300000000001</c:v>
                </c:pt>
                <c:pt idx="34">
                  <c:v>1.2418899999999999</c:v>
                </c:pt>
                <c:pt idx="35">
                  <c:v>1.2418499999999999</c:v>
                </c:pt>
                <c:pt idx="36">
                  <c:v>1.2427999999999999</c:v>
                </c:pt>
                <c:pt idx="37">
                  <c:v>1.23621</c:v>
                </c:pt>
                <c:pt idx="38">
                  <c:v>1.2451700000000001</c:v>
                </c:pt>
                <c:pt idx="39">
                  <c:v>1.23987</c:v>
                </c:pt>
                <c:pt idx="40">
                  <c:v>1.2399800000000001</c:v>
                </c:pt>
                <c:pt idx="41">
                  <c:v>1.23885</c:v>
                </c:pt>
                <c:pt idx="42">
                  <c:v>1.2407999999999999</c:v>
                </c:pt>
                <c:pt idx="43">
                  <c:v>1.2408600000000001</c:v>
                </c:pt>
                <c:pt idx="44">
                  <c:v>1.2375</c:v>
                </c:pt>
                <c:pt idx="45">
                  <c:v>1.2388999999999999</c:v>
                </c:pt>
                <c:pt idx="46">
                  <c:v>1.23295</c:v>
                </c:pt>
                <c:pt idx="47">
                  <c:v>1.2377899999999999</c:v>
                </c:pt>
                <c:pt idx="48">
                  <c:v>1.2343</c:v>
                </c:pt>
                <c:pt idx="49">
                  <c:v>1.2390000000000001</c:v>
                </c:pt>
                <c:pt idx="50">
                  <c:v>1.2367300000000001</c:v>
                </c:pt>
                <c:pt idx="51">
                  <c:v>1.2331000000000001</c:v>
                </c:pt>
                <c:pt idx="52">
                  <c:v>1.2322</c:v>
                </c:pt>
                <c:pt idx="53">
                  <c:v>1.2327999999999999</c:v>
                </c:pt>
                <c:pt idx="54">
                  <c:v>1.2328300000000001</c:v>
                </c:pt>
                <c:pt idx="55">
                  <c:v>1.2327600000000001</c:v>
                </c:pt>
                <c:pt idx="56">
                  <c:v>1.2325299999999999</c:v>
                </c:pt>
                <c:pt idx="57">
                  <c:v>1.23184</c:v>
                </c:pt>
                <c:pt idx="58">
                  <c:v>1.2316499999999999</c:v>
                </c:pt>
                <c:pt idx="59">
                  <c:v>1.2302299999999999</c:v>
                </c:pt>
                <c:pt idx="60">
                  <c:v>1.2302500000000001</c:v>
                </c:pt>
                <c:pt idx="61">
                  <c:v>1.2324200000000001</c:v>
                </c:pt>
                <c:pt idx="62">
                  <c:v>1.22929</c:v>
                </c:pt>
                <c:pt idx="63">
                  <c:v>1.22807</c:v>
                </c:pt>
                <c:pt idx="64">
                  <c:v>1.2267999999999999</c:v>
                </c:pt>
                <c:pt idx="65">
                  <c:v>1.2264999999999999</c:v>
                </c:pt>
                <c:pt idx="66">
                  <c:v>1.2257499999999999</c:v>
                </c:pt>
                <c:pt idx="67">
                  <c:v>1.22458</c:v>
                </c:pt>
                <c:pt idx="68">
                  <c:v>1.22421</c:v>
                </c:pt>
                <c:pt idx="69">
                  <c:v>1.2215100000000001</c:v>
                </c:pt>
                <c:pt idx="70">
                  <c:v>1.2226300000000001</c:v>
                </c:pt>
                <c:pt idx="71">
                  <c:v>1.2208699999999999</c:v>
                </c:pt>
                <c:pt idx="72">
                  <c:v>1.2204900000000001</c:v>
                </c:pt>
                <c:pt idx="73">
                  <c:v>1.2189099999999999</c:v>
                </c:pt>
                <c:pt idx="74">
                  <c:v>1.2177500000000001</c:v>
                </c:pt>
                <c:pt idx="75">
                  <c:v>1.21787</c:v>
                </c:pt>
                <c:pt idx="76">
                  <c:v>1.2159899999999999</c:v>
                </c:pt>
                <c:pt idx="77">
                  <c:v>1.21604</c:v>
                </c:pt>
                <c:pt idx="78">
                  <c:v>1.2130799999999999</c:v>
                </c:pt>
                <c:pt idx="79">
                  <c:v>1.21163</c:v>
                </c:pt>
                <c:pt idx="80">
                  <c:v>1.2097100000000001</c:v>
                </c:pt>
                <c:pt idx="81">
                  <c:v>1.2067300000000001</c:v>
                </c:pt>
                <c:pt idx="82">
                  <c:v>1.2056100000000001</c:v>
                </c:pt>
                <c:pt idx="83">
                  <c:v>1.204</c:v>
                </c:pt>
                <c:pt idx="84">
                  <c:v>1.2019299999999999</c:v>
                </c:pt>
                <c:pt idx="85">
                  <c:v>1.1995199999999999</c:v>
                </c:pt>
                <c:pt idx="86">
                  <c:v>1.19726</c:v>
                </c:pt>
                <c:pt idx="87">
                  <c:v>1.1958200000000001</c:v>
                </c:pt>
                <c:pt idx="88">
                  <c:v>1.19228</c:v>
                </c:pt>
                <c:pt idx="89">
                  <c:v>1.1892400000000001</c:v>
                </c:pt>
                <c:pt idx="90">
                  <c:v>1.1853100000000001</c:v>
                </c:pt>
                <c:pt idx="91">
                  <c:v>1.18194</c:v>
                </c:pt>
                <c:pt idx="92">
                  <c:v>1.1793</c:v>
                </c:pt>
                <c:pt idx="93">
                  <c:v>1.1764699999999999</c:v>
                </c:pt>
                <c:pt idx="94">
                  <c:v>1.1733</c:v>
                </c:pt>
                <c:pt idx="95">
                  <c:v>1.17086</c:v>
                </c:pt>
                <c:pt idx="96">
                  <c:v>1.1650799999999999</c:v>
                </c:pt>
                <c:pt idx="97">
                  <c:v>1.15985</c:v>
                </c:pt>
                <c:pt idx="98">
                  <c:v>1.15493</c:v>
                </c:pt>
                <c:pt idx="99">
                  <c:v>1.15063</c:v>
                </c:pt>
                <c:pt idx="100">
                  <c:v>1.1467000000000001</c:v>
                </c:pt>
                <c:pt idx="101">
                  <c:v>1.1420699999999999</c:v>
                </c:pt>
                <c:pt idx="102">
                  <c:v>1.1383799999999999</c:v>
                </c:pt>
                <c:pt idx="103">
                  <c:v>1.1346700000000001</c:v>
                </c:pt>
                <c:pt idx="104">
                  <c:v>1.1279600000000001</c:v>
                </c:pt>
                <c:pt idx="105">
                  <c:v>1.1217600000000001</c:v>
                </c:pt>
                <c:pt idx="106">
                  <c:v>1.1164000000000001</c:v>
                </c:pt>
                <c:pt idx="107">
                  <c:v>1.1111899999999999</c:v>
                </c:pt>
                <c:pt idx="108">
                  <c:v>1.1066499999999999</c:v>
                </c:pt>
                <c:pt idx="109">
                  <c:v>1.10267</c:v>
                </c:pt>
                <c:pt idx="110">
                  <c:v>1.09822</c:v>
                </c:pt>
                <c:pt idx="111">
                  <c:v>1.0947</c:v>
                </c:pt>
                <c:pt idx="112">
                  <c:v>1.08805</c:v>
                </c:pt>
                <c:pt idx="113">
                  <c:v>1.08216</c:v>
                </c:pt>
                <c:pt idx="114">
                  <c:v>1.0769299999999999</c:v>
                </c:pt>
                <c:pt idx="115">
                  <c:v>1.0723400000000001</c:v>
                </c:pt>
                <c:pt idx="116">
                  <c:v>1.0684100000000001</c:v>
                </c:pt>
                <c:pt idx="117">
                  <c:v>1.06453</c:v>
                </c:pt>
                <c:pt idx="118">
                  <c:v>1.06142</c:v>
                </c:pt>
                <c:pt idx="119">
                  <c:v>1.0585800000000001</c:v>
                </c:pt>
                <c:pt idx="120">
                  <c:v>1.0533300000000001</c:v>
                </c:pt>
                <c:pt idx="121">
                  <c:v>1.0488900000000001</c:v>
                </c:pt>
                <c:pt idx="122">
                  <c:v>1.0452699999999999</c:v>
                </c:pt>
                <c:pt idx="123">
                  <c:v>1.0421100000000001</c:v>
                </c:pt>
                <c:pt idx="124">
                  <c:v>1.03966</c:v>
                </c:pt>
                <c:pt idx="125">
                  <c:v>1.0369699999999999</c:v>
                </c:pt>
                <c:pt idx="126">
                  <c:v>1.0347500000000001</c:v>
                </c:pt>
                <c:pt idx="127">
                  <c:v>1.0327200000000001</c:v>
                </c:pt>
                <c:pt idx="128">
                  <c:v>1.0287500000000001</c:v>
                </c:pt>
                <c:pt idx="129">
                  <c:v>1.0259400000000001</c:v>
                </c:pt>
                <c:pt idx="130">
                  <c:v>1.0236700000000001</c:v>
                </c:pt>
                <c:pt idx="131">
                  <c:v>1.02166</c:v>
                </c:pt>
                <c:pt idx="132">
                  <c:v>1.0198700000000001</c:v>
                </c:pt>
                <c:pt idx="133">
                  <c:v>1.01868</c:v>
                </c:pt>
                <c:pt idx="134">
                  <c:v>1.01763</c:v>
                </c:pt>
                <c:pt idx="135">
                  <c:v>1.0166599999999999</c:v>
                </c:pt>
                <c:pt idx="136">
                  <c:v>1.0146900000000001</c:v>
                </c:pt>
                <c:pt idx="137">
                  <c:v>1.0131600000000001</c:v>
                </c:pt>
                <c:pt idx="138">
                  <c:v>1.0120199999999999</c:v>
                </c:pt>
                <c:pt idx="139">
                  <c:v>1.0109399999999999</c:v>
                </c:pt>
                <c:pt idx="140">
                  <c:v>1.0099100000000001</c:v>
                </c:pt>
                <c:pt idx="141">
                  <c:v>1.0089900000000001</c:v>
                </c:pt>
                <c:pt idx="142">
                  <c:v>1.0083899999999999</c:v>
                </c:pt>
                <c:pt idx="143">
                  <c:v>1.0077400000000001</c:v>
                </c:pt>
                <c:pt idx="144">
                  <c:v>1.00654</c:v>
                </c:pt>
                <c:pt idx="145">
                  <c:v>1.00549</c:v>
                </c:pt>
                <c:pt idx="146">
                  <c:v>1.00471</c:v>
                </c:pt>
                <c:pt idx="147">
                  <c:v>1.0043800000000001</c:v>
                </c:pt>
                <c:pt idx="148">
                  <c:v>1.0040199999999999</c:v>
                </c:pt>
                <c:pt idx="149">
                  <c:v>1.0035799999999999</c:v>
                </c:pt>
                <c:pt idx="150">
                  <c:v>1.00339</c:v>
                </c:pt>
                <c:pt idx="151">
                  <c:v>1.0032099999999999</c:v>
                </c:pt>
                <c:pt idx="152">
                  <c:v>1.0028300000000001</c:v>
                </c:pt>
                <c:pt idx="153">
                  <c:v>1.00298</c:v>
                </c:pt>
                <c:pt idx="154">
                  <c:v>1.00237</c:v>
                </c:pt>
                <c:pt idx="155">
                  <c:v>1.00227</c:v>
                </c:pt>
                <c:pt idx="156">
                  <c:v>1.00247</c:v>
                </c:pt>
                <c:pt idx="157">
                  <c:v>1.00227</c:v>
                </c:pt>
                <c:pt idx="158">
                  <c:v>1.00196</c:v>
                </c:pt>
                <c:pt idx="159">
                  <c:v>1.00197</c:v>
                </c:pt>
                <c:pt idx="160">
                  <c:v>1.0014099999999999</c:v>
                </c:pt>
                <c:pt idx="161">
                  <c:v>1.00135</c:v>
                </c:pt>
                <c:pt idx="162">
                  <c:v>1.0012000000000001</c:v>
                </c:pt>
                <c:pt idx="163">
                  <c:v>1.0014099999999999</c:v>
                </c:pt>
                <c:pt idx="164">
                  <c:v>1.0014099999999999</c:v>
                </c:pt>
                <c:pt idx="165">
                  <c:v>1.00136</c:v>
                </c:pt>
                <c:pt idx="166">
                  <c:v>1.00088</c:v>
                </c:pt>
                <c:pt idx="167">
                  <c:v>1.00084</c:v>
                </c:pt>
                <c:pt idx="168">
                  <c:v>1.00044</c:v>
                </c:pt>
                <c:pt idx="169">
                  <c:v>1.00061</c:v>
                </c:pt>
                <c:pt idx="170">
                  <c:v>1.00021</c:v>
                </c:pt>
                <c:pt idx="171">
                  <c:v>1.0002800000000001</c:v>
                </c:pt>
                <c:pt idx="172">
                  <c:v>0.99960000000000004</c:v>
                </c:pt>
                <c:pt idx="173">
                  <c:v>1.0005599999999999</c:v>
                </c:pt>
                <c:pt idx="174">
                  <c:v>1.0004599999999999</c:v>
                </c:pt>
                <c:pt idx="175">
                  <c:v>1.00024</c:v>
                </c:pt>
                <c:pt idx="176">
                  <c:v>1.0002</c:v>
                </c:pt>
                <c:pt idx="177">
                  <c:v>1.0000100000000001</c:v>
                </c:pt>
                <c:pt idx="178">
                  <c:v>1.00034</c:v>
                </c:pt>
                <c:pt idx="179">
                  <c:v>1.0001100000000001</c:v>
                </c:pt>
                <c:pt idx="180">
                  <c:v>1.0000199999999999</c:v>
                </c:pt>
                <c:pt idx="181">
                  <c:v>1.0003500000000001</c:v>
                </c:pt>
                <c:pt idx="182">
                  <c:v>1.00034</c:v>
                </c:pt>
                <c:pt idx="183">
                  <c:v>1.00023</c:v>
                </c:pt>
                <c:pt idx="184">
                  <c:v>1.00023</c:v>
                </c:pt>
                <c:pt idx="185">
                  <c:v>1.00058</c:v>
                </c:pt>
                <c:pt idx="186">
                  <c:v>1.00003</c:v>
                </c:pt>
                <c:pt idx="187">
                  <c:v>1.0003599999999999</c:v>
                </c:pt>
                <c:pt idx="188">
                  <c:v>1.00037</c:v>
                </c:pt>
                <c:pt idx="189">
                  <c:v>1.0003299999999999</c:v>
                </c:pt>
                <c:pt idx="190">
                  <c:v>1.00023</c:v>
                </c:pt>
                <c:pt idx="191">
                  <c:v>1.0000899999999999</c:v>
                </c:pt>
                <c:pt idx="192">
                  <c:v>1.00017</c:v>
                </c:pt>
                <c:pt idx="193">
                  <c:v>1.0002599999999999</c:v>
                </c:pt>
                <c:pt idx="194">
                  <c:v>1.0001199999999999</c:v>
                </c:pt>
                <c:pt idx="195">
                  <c:v>1.0002599999999999</c:v>
                </c:pt>
                <c:pt idx="196">
                  <c:v>1.00013</c:v>
                </c:pt>
                <c:pt idx="197">
                  <c:v>1.0001800000000001</c:v>
                </c:pt>
                <c:pt idx="198">
                  <c:v>1.0005500000000001</c:v>
                </c:pt>
                <c:pt idx="199">
                  <c:v>1.00021</c:v>
                </c:pt>
                <c:pt idx="200">
                  <c:v>1.00021</c:v>
                </c:pt>
                <c:pt idx="201">
                  <c:v>1.0001100000000001</c:v>
                </c:pt>
                <c:pt idx="202">
                  <c:v>1.0002800000000001</c:v>
                </c:pt>
                <c:pt idx="203">
                  <c:v>1.00041</c:v>
                </c:pt>
                <c:pt idx="204">
                  <c:v>1.00024</c:v>
                </c:pt>
                <c:pt idx="205">
                  <c:v>1.00023</c:v>
                </c:pt>
                <c:pt idx="206">
                  <c:v>1.0003500000000001</c:v>
                </c:pt>
                <c:pt idx="207">
                  <c:v>1.00051</c:v>
                </c:pt>
                <c:pt idx="208">
                  <c:v>1.00041</c:v>
                </c:pt>
                <c:pt idx="209">
                  <c:v>1.00038</c:v>
                </c:pt>
                <c:pt idx="210">
                  <c:v>1.0005200000000001</c:v>
                </c:pt>
                <c:pt idx="211">
                  <c:v>1.00074</c:v>
                </c:pt>
                <c:pt idx="212">
                  <c:v>1.00081</c:v>
                </c:pt>
                <c:pt idx="213">
                  <c:v>1.0008699999999999</c:v>
                </c:pt>
                <c:pt idx="214">
                  <c:v>1.00101</c:v>
                </c:pt>
                <c:pt idx="215">
                  <c:v>1.00082</c:v>
                </c:pt>
                <c:pt idx="216">
                  <c:v>1.00101</c:v>
                </c:pt>
                <c:pt idx="217">
                  <c:v>1.0012300000000001</c:v>
                </c:pt>
                <c:pt idx="218">
                  <c:v>1.00115</c:v>
                </c:pt>
                <c:pt idx="219">
                  <c:v>1.0012000000000001</c:v>
                </c:pt>
                <c:pt idx="220">
                  <c:v>1.00129</c:v>
                </c:pt>
                <c:pt idx="221">
                  <c:v>1.00125</c:v>
                </c:pt>
                <c:pt idx="222">
                  <c:v>1.0014099999999999</c:v>
                </c:pt>
                <c:pt idx="223">
                  <c:v>1.0016</c:v>
                </c:pt>
                <c:pt idx="224">
                  <c:v>1.0016099999999999</c:v>
                </c:pt>
                <c:pt idx="225">
                  <c:v>1.0016400000000001</c:v>
                </c:pt>
                <c:pt idx="226">
                  <c:v>1.00156</c:v>
                </c:pt>
                <c:pt idx="227">
                  <c:v>1.0017</c:v>
                </c:pt>
                <c:pt idx="228">
                  <c:v>1.00183</c:v>
                </c:pt>
                <c:pt idx="229">
                  <c:v>1.0019199999999999</c:v>
                </c:pt>
                <c:pt idx="230">
                  <c:v>1.0018</c:v>
                </c:pt>
                <c:pt idx="231">
                  <c:v>1.0018899999999999</c:v>
                </c:pt>
                <c:pt idx="232">
                  <c:v>1.00223</c:v>
                </c:pt>
                <c:pt idx="233">
                  <c:v>1.0024299999999999</c:v>
                </c:pt>
                <c:pt idx="234">
                  <c:v>1.00258</c:v>
                </c:pt>
                <c:pt idx="235">
                  <c:v>1.0023</c:v>
                </c:pt>
                <c:pt idx="236">
                  <c:v>1.0019899999999999</c:v>
                </c:pt>
                <c:pt idx="237">
                  <c:v>1.0019100000000001</c:v>
                </c:pt>
                <c:pt idx="238">
                  <c:v>1.0022200000000001</c:v>
                </c:pt>
                <c:pt idx="239">
                  <c:v>1.0022800000000001</c:v>
                </c:pt>
                <c:pt idx="240">
                  <c:v>1.0027699999999999</c:v>
                </c:pt>
                <c:pt idx="241">
                  <c:v>1.0026200000000001</c:v>
                </c:pt>
                <c:pt idx="242">
                  <c:v>1.0031000000000001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693-451F-8BD8-583476843A51}"/>
            </c:ext>
          </c:extLst>
        </c:ser>
        <c:ser>
          <c:idx val="1"/>
          <c:order val="1"/>
          <c:tx>
            <c:strRef>
              <c:f>'2_Rh110 in H20'!$E$1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'2_Rh110 in H20'!$A$3:$A$244</c:f>
              <c:numCache>
                <c:formatCode>General</c:formatCode>
                <c:ptCount val="242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</c:numCache>
            </c:numRef>
          </c:xVal>
          <c:yVal>
            <c:numRef>
              <c:f>'2_Rh110 in H20'!$E$3:$E$200</c:f>
              <c:numCache>
                <c:formatCode>General</c:formatCode>
                <c:ptCount val="198"/>
                <c:pt idx="0">
                  <c:v>1.2405105035690427</c:v>
                </c:pt>
                <c:pt idx="1">
                  <c:v>1.2404942871234219</c:v>
                </c:pt>
                <c:pt idx="2">
                  <c:v>1.2404780835355791</c:v>
                </c:pt>
                <c:pt idx="3">
                  <c:v>1.2404618927913131</c:v>
                </c:pt>
                <c:pt idx="4">
                  <c:v>1.2404457148764387</c:v>
                </c:pt>
                <c:pt idx="5">
                  <c:v>1.2404295497767863</c:v>
                </c:pt>
                <c:pt idx="6">
                  <c:v>1.2404133974782021</c:v>
                </c:pt>
                <c:pt idx="7">
                  <c:v>1.240397257966549</c:v>
                </c:pt>
                <c:pt idx="8">
                  <c:v>1.2403811312277044</c:v>
                </c:pt>
                <c:pt idx="9">
                  <c:v>1.2403650172475627</c:v>
                </c:pt>
                <c:pt idx="10">
                  <c:v>1.2403489160120338</c:v>
                </c:pt>
                <c:pt idx="11">
                  <c:v>1.2403328275070429</c:v>
                </c:pt>
                <c:pt idx="12">
                  <c:v>1.2403167517185314</c:v>
                </c:pt>
                <c:pt idx="13">
                  <c:v>1.2403006886324568</c:v>
                </c:pt>
                <c:pt idx="14">
                  <c:v>1.2402846382347918</c:v>
                </c:pt>
                <c:pt idx="15">
                  <c:v>1.2402525754486604</c:v>
                </c:pt>
                <c:pt idx="16">
                  <c:v>1.2402205632482342</c:v>
                </c:pt>
                <c:pt idx="17">
                  <c:v>1.2401886015218611</c:v>
                </c:pt>
                <c:pt idx="18">
                  <c:v>1.2401566901581393</c:v>
                </c:pt>
                <c:pt idx="19">
                  <c:v>1.2401248290459161</c:v>
                </c:pt>
                <c:pt idx="20">
                  <c:v>1.2400930180742886</c:v>
                </c:pt>
                <c:pt idx="21">
                  <c:v>1.240061257132602</c:v>
                </c:pt>
                <c:pt idx="22">
                  <c:v>1.2400295461104494</c:v>
                </c:pt>
                <c:pt idx="23">
                  <c:v>1.2399662733843551</c:v>
                </c:pt>
                <c:pt idx="24">
                  <c:v>1.2399031990176899</c:v>
                </c:pt>
                <c:pt idx="25">
                  <c:v>1.2398403221360685</c:v>
                </c:pt>
                <c:pt idx="26">
                  <c:v>1.2397776418690212</c:v>
                </c:pt>
                <c:pt idx="27">
                  <c:v>1.2397151573499734</c:v>
                </c:pt>
                <c:pt idx="28">
                  <c:v>1.2396528677162306</c:v>
                </c:pt>
                <c:pt idx="29">
                  <c:v>1.2395907721089601</c:v>
                </c:pt>
                <c:pt idx="30">
                  <c:v>1.2395288696731734</c:v>
                </c:pt>
                <c:pt idx="31">
                  <c:v>1.2394056409152163</c:v>
                </c:pt>
                <c:pt idx="32">
                  <c:v>1.2392831746786879</c:v>
                </c:pt>
                <c:pt idx="33">
                  <c:v>1.2391614642603341</c:v>
                </c:pt>
                <c:pt idx="34">
                  <c:v>1.2390405030167768</c:v>
                </c:pt>
                <c:pt idx="35">
                  <c:v>1.2389202843639788</c:v>
                </c:pt>
                <c:pt idx="36">
                  <c:v>1.2388008017767129</c:v>
                </c:pt>
                <c:pt idx="37">
                  <c:v>1.2386820487880368</c:v>
                </c:pt>
                <c:pt idx="38">
                  <c:v>1.2385640189887701</c:v>
                </c:pt>
                <c:pt idx="39">
                  <c:v>1.2383301036074661</c:v>
                </c:pt>
                <c:pt idx="40">
                  <c:v>1.2380990054951058</c:v>
                </c:pt>
                <c:pt idx="41">
                  <c:v>1.2378706754056159</c:v>
                </c:pt>
                <c:pt idx="42">
                  <c:v>1.2376450649686681</c:v>
                </c:pt>
                <c:pt idx="43">
                  <c:v>1.2374221266740859</c:v>
                </c:pt>
                <c:pt idx="44">
                  <c:v>1.2372018138565291</c:v>
                </c:pt>
                <c:pt idx="45">
                  <c:v>1.2369840806804486</c:v>
                </c:pt>
                <c:pt idx="46">
                  <c:v>1.2367688821253138</c:v>
                </c:pt>
                <c:pt idx="47">
                  <c:v>1.2363459127840302</c:v>
                </c:pt>
                <c:pt idx="48">
                  <c:v>1.2359325614237482</c:v>
                </c:pt>
                <c:pt idx="49">
                  <c:v>1.235528495773534</c:v>
                </c:pt>
                <c:pt idx="50">
                  <c:v>1.2351333952720627</c:v>
                </c:pt>
                <c:pt idx="51">
                  <c:v>1.2347469506543585</c:v>
                </c:pt>
                <c:pt idx="52">
                  <c:v>1.2343688635531267</c:v>
                </c:pt>
                <c:pt idx="53">
                  <c:v>1.2339988461141604</c:v>
                </c:pt>
                <c:pt idx="54">
                  <c:v>1.233636620625328</c:v>
                </c:pt>
                <c:pt idx="55">
                  <c:v>1.2329344832250664</c:v>
                </c:pt>
                <c:pt idx="56">
                  <c:v>1.2322604192084325</c:v>
                </c:pt>
                <c:pt idx="57">
                  <c:v>1.231612537073828</c:v>
                </c:pt>
                <c:pt idx="58">
                  <c:v>1.2309890762113389</c:v>
                </c:pt>
                <c:pt idx="59">
                  <c:v>1.2303883978284309</c:v>
                </c:pt>
                <c:pt idx="60">
                  <c:v>1.2298089765050373</c:v>
                </c:pt>
                <c:pt idx="61">
                  <c:v>1.2292493923343684</c:v>
                </c:pt>
                <c:pt idx="62">
                  <c:v>1.2287083236088003</c:v>
                </c:pt>
                <c:pt idx="63">
                  <c:v>1.2276768962892788</c:v>
                </c:pt>
                <c:pt idx="64">
                  <c:v>1.226705837750494</c:v>
                </c:pt>
                <c:pt idx="65">
                  <c:v>1.2257874730492875</c:v>
                </c:pt>
                <c:pt idx="66">
                  <c:v>1.2249151509557357</c:v>
                </c:pt>
                <c:pt idx="67">
                  <c:v>1.2240831069845801</c:v>
                </c:pt>
                <c:pt idx="68">
                  <c:v>1.2232863447623645</c:v>
                </c:pt>
                <c:pt idx="69">
                  <c:v>1.222520533274825</c:v>
                </c:pt>
                <c:pt idx="70">
                  <c:v>1.2217819178680196</c:v>
                </c:pt>
                <c:pt idx="71">
                  <c:v>1.220373686278905</c:v>
                </c:pt>
                <c:pt idx="72">
                  <c:v>1.2190404577348635</c:v>
                </c:pt>
                <c:pt idx="73">
                  <c:v>1.2177662869519268</c:v>
                </c:pt>
                <c:pt idx="74">
                  <c:v>1.216539166575328</c:v>
                </c:pt>
                <c:pt idx="75">
                  <c:v>1.2153500449992949</c:v>
                </c:pt>
                <c:pt idx="76">
                  <c:v>1.2141920894080074</c:v>
                </c:pt>
                <c:pt idx="77">
                  <c:v>1.2130601327918151</c:v>
                </c:pt>
                <c:pt idx="78">
                  <c:v>1.2119502589939628</c:v>
                </c:pt>
                <c:pt idx="79">
                  <c:v>1.2097855588545983</c:v>
                </c:pt>
                <c:pt idx="80">
                  <c:v>1.2076816362380458</c:v>
                </c:pt>
                <c:pt idx="81">
                  <c:v>1.2056287840405893</c:v>
                </c:pt>
                <c:pt idx="82">
                  <c:v>1.2036210574515878</c:v>
                </c:pt>
                <c:pt idx="83">
                  <c:v>1.2016546490324111</c:v>
                </c:pt>
                <c:pt idx="84">
                  <c:v>1.1997269725561741</c:v>
                </c:pt>
                <c:pt idx="85">
                  <c:v>1.1978361460912805</c:v>
                </c:pt>
                <c:pt idx="86">
                  <c:v>1.195980700020383</c:v>
                </c:pt>
                <c:pt idx="87">
                  <c:v>1.1923712122863441</c:v>
                </c:pt>
                <c:pt idx="88">
                  <c:v>1.188890271001585</c:v>
                </c:pt>
                <c:pt idx="89">
                  <c:v>1.1855308510408684</c:v>
                </c:pt>
                <c:pt idx="90">
                  <c:v>1.1822866120335995</c:v>
                </c:pt>
                <c:pt idx="91">
                  <c:v>1.1791517054383649</c:v>
                </c:pt>
                <c:pt idx="92">
                  <c:v>1.1761206907113317</c:v>
                </c:pt>
                <c:pt idx="93">
                  <c:v>1.173188488335821</c:v>
                </c:pt>
                <c:pt idx="94">
                  <c:v>1.1703503465103586</c:v>
                </c:pt>
                <c:pt idx="95">
                  <c:v>1.1649387158879685</c:v>
                </c:pt>
                <c:pt idx="96">
                  <c:v>1.1598533828095694</c:v>
                </c:pt>
                <c:pt idx="97">
                  <c:v>1.1550657232484682</c:v>
                </c:pt>
                <c:pt idx="98">
                  <c:v>1.1505503660055143</c:v>
                </c:pt>
                <c:pt idx="99">
                  <c:v>1.1462847433647374</c:v>
                </c:pt>
                <c:pt idx="100">
                  <c:v>1.1422487142723432</c:v>
                </c:pt>
                <c:pt idx="101">
                  <c:v>1.1384242467076227</c:v>
                </c:pt>
                <c:pt idx="102">
                  <c:v>1.1347951486714387</c:v>
                </c:pt>
                <c:pt idx="103">
                  <c:v>1.1280661534642964</c:v>
                </c:pt>
                <c:pt idx="104">
                  <c:v>1.121961086432288</c:v>
                </c:pt>
                <c:pt idx="105">
                  <c:v>1.1163971183282428</c:v>
                </c:pt>
                <c:pt idx="106">
                  <c:v>1.1113054589164846</c:v>
                </c:pt>
                <c:pt idx="107">
                  <c:v>1.106628503496637</c:v>
                </c:pt>
                <c:pt idx="108">
                  <c:v>1.1023176482149162</c:v>
                </c:pt>
                <c:pt idx="109">
                  <c:v>1.0983315981651935</c:v>
                </c:pt>
                <c:pt idx="110">
                  <c:v>1.0946350432962209</c:v>
                </c:pt>
                <c:pt idx="111">
                  <c:v>1.0879930374033531</c:v>
                </c:pt>
                <c:pt idx="112">
                  <c:v>1.0821940138730128</c:v>
                </c:pt>
                <c:pt idx="113">
                  <c:v>1.0770874084990942</c:v>
                </c:pt>
                <c:pt idx="114">
                  <c:v>1.0725564924771616</c:v>
                </c:pt>
                <c:pt idx="115">
                  <c:v>1.0685093735757754</c:v>
                </c:pt>
                <c:pt idx="116">
                  <c:v>1.0648727242365721</c:v>
                </c:pt>
                <c:pt idx="117">
                  <c:v>1.0615873188833089</c:v>
                </c:pt>
                <c:pt idx="118">
                  <c:v>1.058604799499163</c:v>
                </c:pt>
                <c:pt idx="119">
                  <c:v>1.0533956256572712</c:v>
                </c:pt>
                <c:pt idx="120">
                  <c:v>1.0489988425100698</c:v>
                </c:pt>
                <c:pt idx="121">
                  <c:v>1.0452389900879739</c:v>
                </c:pt>
                <c:pt idx="122">
                  <c:v>1.0419877163354179</c:v>
                </c:pt>
                <c:pt idx="123">
                  <c:v>1.0391489630611792</c:v>
                </c:pt>
                <c:pt idx="124">
                  <c:v>1.0366494113379434</c:v>
                </c:pt>
                <c:pt idx="125">
                  <c:v>1.0344321295781098</c:v>
                </c:pt>
                <c:pt idx="126">
                  <c:v>1.0324522381064059</c:v>
                </c:pt>
                <c:pt idx="127">
                  <c:v>1.0290680667334311</c:v>
                </c:pt>
                <c:pt idx="128">
                  <c:v>1.026283432575275</c:v>
                </c:pt>
                <c:pt idx="129">
                  <c:v>1.0239534830257222</c:v>
                </c:pt>
                <c:pt idx="130">
                  <c:v>1.0219764687926536</c:v>
                </c:pt>
                <c:pt idx="131">
                  <c:v>1.0202788272770293</c:v>
                </c:pt>
                <c:pt idx="132">
                  <c:v>1.0188060590111516</c:v>
                </c:pt>
                <c:pt idx="133">
                  <c:v>1.0175169320003696</c:v>
                </c:pt>
                <c:pt idx="134">
                  <c:v>1.0163796789737738</c:v>
                </c:pt>
                <c:pt idx="135">
                  <c:v>1.014466445224713</c:v>
                </c:pt>
                <c:pt idx="136">
                  <c:v>1.0129217315559378</c:v>
                </c:pt>
                <c:pt idx="137">
                  <c:v>1.0116503656634224</c:v>
                </c:pt>
                <c:pt idx="138">
                  <c:v>1.0105871822593586</c:v>
                </c:pt>
                <c:pt idx="139">
                  <c:v>1.0096860799319423</c:v>
                </c:pt>
                <c:pt idx="140">
                  <c:v>1.0089135387923471</c:v>
                </c:pt>
                <c:pt idx="141">
                  <c:v>1.0082446128692393</c:v>
                </c:pt>
                <c:pt idx="142">
                  <c:v>1.0076603612483768</c:v>
                </c:pt>
                <c:pt idx="143">
                  <c:v>1.0066904965141605</c:v>
                </c:pt>
                <c:pt idx="144">
                  <c:v>1.0059201248014138</c:v>
                </c:pt>
                <c:pt idx="145">
                  <c:v>1.0052952126694792</c:v>
                </c:pt>
                <c:pt idx="146">
                  <c:v>1.0047794125632958</c:v>
                </c:pt>
                <c:pt idx="147">
                  <c:v>1.0043474077026009</c:v>
                </c:pt>
                <c:pt idx="148">
                  <c:v>1.0039810452814633</c:v>
                </c:pt>
                <c:pt idx="149">
                  <c:v>1.0036669854670439</c:v>
                </c:pt>
                <c:pt idx="150">
                  <c:v>1.0033952163976034</c:v>
                </c:pt>
                <c:pt idx="151">
                  <c:v>1.0029496472784425</c:v>
                </c:pt>
                <c:pt idx="152">
                  <c:v>1.0026010654157604</c:v>
                </c:pt>
                <c:pt idx="153">
                  <c:v>1.0023220741167649</c:v>
                </c:pt>
                <c:pt idx="154">
                  <c:v>1.0020945379802448</c:v>
                </c:pt>
                <c:pt idx="155">
                  <c:v>1.001906007464485</c:v>
                </c:pt>
                <c:pt idx="156">
                  <c:v>1.0017476732864903</c:v>
                </c:pt>
                <c:pt idx="157">
                  <c:v>1.0016131399770916</c:v>
                </c:pt>
                <c:pt idx="158">
                  <c:v>1.001497661071763</c:v>
                </c:pt>
                <c:pt idx="159">
                  <c:v>1.0013103322791994</c:v>
                </c:pt>
                <c:pt idx="160">
                  <c:v>1.0011656332474563</c:v>
                </c:pt>
                <c:pt idx="161">
                  <c:v>1.0010510849962924</c:v>
                </c:pt>
                <c:pt idx="162">
                  <c:v>1.0009585513054358</c:v>
                </c:pt>
                <c:pt idx="163">
                  <c:v>1.0008825213798402</c:v>
                </c:pt>
                <c:pt idx="164">
                  <c:v>1.0008191422738759</c:v>
                </c:pt>
                <c:pt idx="165">
                  <c:v>1.0007656467597488</c:v>
                </c:pt>
                <c:pt idx="166">
                  <c:v>1.0007200010095998</c:v>
                </c:pt>
                <c:pt idx="167">
                  <c:v>1.0006465199662093</c:v>
                </c:pt>
                <c:pt idx="168">
                  <c:v>1.0005902682824661</c:v>
                </c:pt>
                <c:pt idx="169">
                  <c:v>1.0005460725000557</c:v>
                </c:pt>
                <c:pt idx="170">
                  <c:v>1.0005105993998249</c:v>
                </c:pt>
                <c:pt idx="171">
                  <c:v>1.0004816142984392</c:v>
                </c:pt>
                <c:pt idx="172">
                  <c:v>1.0004575686146231</c:v>
                </c:pt>
                <c:pt idx="173">
                  <c:v>1.0004373587848256</c:v>
                </c:pt>
                <c:pt idx="174">
                  <c:v>1.0004201793046188</c:v>
                </c:pt>
                <c:pt idx="175">
                  <c:v>1.0003926549735258</c:v>
                </c:pt>
                <c:pt idx="176">
                  <c:v>1.0003716998797121</c:v>
                </c:pt>
                <c:pt idx="177">
                  <c:v>1.0003553104588498</c:v>
                </c:pt>
                <c:pt idx="178">
                  <c:v>1.0003422057795688</c:v>
                </c:pt>
                <c:pt idx="179">
                  <c:v>1.0003315326465378</c:v>
                </c:pt>
                <c:pt idx="180">
                  <c:v>1.000322703096409</c:v>
                </c:pt>
                <c:pt idx="181">
                  <c:v>1.0003153001391467</c:v>
                </c:pt>
                <c:pt idx="182">
                  <c:v>1.0003090206833525</c:v>
                </c:pt>
                <c:pt idx="183">
                  <c:v>1.0002989869328596</c:v>
                </c:pt>
                <c:pt idx="184">
                  <c:v>1.0002913713456472</c:v>
                </c:pt>
                <c:pt idx="185">
                  <c:v>1.0002854299536852</c:v>
                </c:pt>
                <c:pt idx="186">
                  <c:v>1.0002806892365346</c:v>
                </c:pt>
                <c:pt idx="187">
                  <c:v>1.0002768349626254</c:v>
                </c:pt>
                <c:pt idx="188">
                  <c:v>1.0002736512631603</c:v>
                </c:pt>
                <c:pt idx="189">
                  <c:v>1.0002709854521934</c:v>
                </c:pt>
                <c:pt idx="190">
                  <c:v>1.0002687268070094</c:v>
                </c:pt>
                <c:pt idx="191">
                  <c:v>1.0002651229396469</c:v>
                </c:pt>
                <c:pt idx="192">
                  <c:v>1.0002623920573082</c:v>
                </c:pt>
                <c:pt idx="193">
                  <c:v>1.0002602643390448</c:v>
                </c:pt>
                <c:pt idx="194">
                  <c:v>1.0002585684615706</c:v>
                </c:pt>
                <c:pt idx="195">
                  <c:v>1.0002571909589444</c:v>
                </c:pt>
                <c:pt idx="196">
                  <c:v>1.0002560540129395</c:v>
                </c:pt>
                <c:pt idx="197">
                  <c:v>1.0002551026602065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693-451F-8BD8-58347684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91456"/>
        <c:axId val="152692992"/>
      </c:scatterChart>
      <c:valAx>
        <c:axId val="152691456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2692992"/>
        <c:crosses val="autoZero"/>
        <c:crossBetween val="midCat"/>
      </c:valAx>
      <c:valAx>
        <c:axId val="152692992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2691456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7653637955449739"/>
          <c:y val="8.4598698481561818E-2"/>
          <c:w val="0.11312852883680802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32391970556747E-2"/>
          <c:y val="5.1400554097404488E-2"/>
          <c:w val="0.87472763530257047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'2_Rh110 in H20'!$F$1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'2_Rh110 in H20'!$A$3:$A$235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'2_Rh110 in H20'!$F$3:$F$200</c:f>
              <c:numCache>
                <c:formatCode>General</c:formatCode>
                <c:ptCount val="198"/>
                <c:pt idx="0">
                  <c:v>-3.5300503569042796E-2</c:v>
                </c:pt>
                <c:pt idx="1">
                  <c:v>-1.377428712342188E-2</c:v>
                </c:pt>
                <c:pt idx="2">
                  <c:v>-6.4880835355791699E-3</c:v>
                </c:pt>
                <c:pt idx="3">
                  <c:v>-1.5518927913131808E-3</c:v>
                </c:pt>
                <c:pt idx="4">
                  <c:v>2.4742851235612928E-3</c:v>
                </c:pt>
                <c:pt idx="5">
                  <c:v>5.7104502232137033E-3</c:v>
                </c:pt>
                <c:pt idx="6">
                  <c:v>-4.1733974782021122E-3</c:v>
                </c:pt>
                <c:pt idx="7">
                  <c:v>2.7732742033450997E-2</c:v>
                </c:pt>
                <c:pt idx="8">
                  <c:v>4.4088687722956266E-3</c:v>
                </c:pt>
                <c:pt idx="9">
                  <c:v>9.7049827524373633E-3</c:v>
                </c:pt>
                <c:pt idx="10">
                  <c:v>-8.3189160120338279E-3</c:v>
                </c:pt>
                <c:pt idx="11">
                  <c:v>-2.3128275070429805E-3</c:v>
                </c:pt>
                <c:pt idx="12">
                  <c:v>-1.350675171853144E-2</c:v>
                </c:pt>
                <c:pt idx="13">
                  <c:v>4.5793113675431929E-3</c:v>
                </c:pt>
                <c:pt idx="14">
                  <c:v>-2.6646382347919051E-3</c:v>
                </c:pt>
                <c:pt idx="15">
                  <c:v>-1.3482575448660494E-2</c:v>
                </c:pt>
                <c:pt idx="16">
                  <c:v>5.6494367517658794E-3</c:v>
                </c:pt>
                <c:pt idx="17">
                  <c:v>-3.658601521861149E-3</c:v>
                </c:pt>
                <c:pt idx="18">
                  <c:v>1.0333309841860761E-2</c:v>
                </c:pt>
                <c:pt idx="19">
                  <c:v>-1.346482904591606E-2</c:v>
                </c:pt>
                <c:pt idx="20">
                  <c:v>3.4669819257113765E-3</c:v>
                </c:pt>
                <c:pt idx="21">
                  <c:v>-4.0212571326019297E-3</c:v>
                </c:pt>
                <c:pt idx="22">
                  <c:v>-2.7795461104493935E-3</c:v>
                </c:pt>
                <c:pt idx="23">
                  <c:v>-2.3162733843551386E-3</c:v>
                </c:pt>
                <c:pt idx="24">
                  <c:v>1.3068009823100635E-3</c:v>
                </c:pt>
                <c:pt idx="25">
                  <c:v>-1.4503221360684382E-3</c:v>
                </c:pt>
                <c:pt idx="26">
                  <c:v>8.7423581309789E-3</c:v>
                </c:pt>
                <c:pt idx="27">
                  <c:v>-6.6051573499734673E-3</c:v>
                </c:pt>
                <c:pt idx="28">
                  <c:v>8.3713228376947058E-4</c:v>
                </c:pt>
                <c:pt idx="29">
                  <c:v>-1.0630772108960018E-2</c:v>
                </c:pt>
                <c:pt idx="30">
                  <c:v>-1.9188696731733401E-3</c:v>
                </c:pt>
                <c:pt idx="31">
                  <c:v>9.1643590847836354E-3</c:v>
                </c:pt>
                <c:pt idx="32">
                  <c:v>3.9468253213121862E-3</c:v>
                </c:pt>
                <c:pt idx="33">
                  <c:v>2.728535739665805E-3</c:v>
                </c:pt>
                <c:pt idx="34">
                  <c:v>2.8094969832230809E-3</c:v>
                </c:pt>
                <c:pt idx="35">
                  <c:v>3.8797156360210749E-3</c:v>
                </c:pt>
                <c:pt idx="36">
                  <c:v>-2.5908017767128921E-3</c:v>
                </c:pt>
                <c:pt idx="37">
                  <c:v>6.4879512119633276E-3</c:v>
                </c:pt>
                <c:pt idx="38">
                  <c:v>1.3059810112299175E-3</c:v>
                </c:pt>
                <c:pt idx="39">
                  <c:v>1.6498963925339893E-3</c:v>
                </c:pt>
                <c:pt idx="40">
                  <c:v>7.5099450489424235E-4</c:v>
                </c:pt>
                <c:pt idx="41">
                  <c:v>2.9293245943839974E-3</c:v>
                </c:pt>
                <c:pt idx="42">
                  <c:v>3.2149350313319669E-3</c:v>
                </c:pt>
                <c:pt idx="43">
                  <c:v>7.7873325914135094E-5</c:v>
                </c:pt>
                <c:pt idx="44">
                  <c:v>1.6981861434708367E-3</c:v>
                </c:pt>
                <c:pt idx="45">
                  <c:v>-4.0340806804486373E-3</c:v>
                </c:pt>
                <c:pt idx="46">
                  <c:v>1.0211178746861727E-3</c:v>
                </c:pt>
                <c:pt idx="47">
                  <c:v>-2.0459127840302127E-3</c:v>
                </c:pt>
                <c:pt idx="48">
                  <c:v>3.067438576251913E-3</c:v>
                </c:pt>
                <c:pt idx="49">
                  <c:v>1.2015042264661435E-3</c:v>
                </c:pt>
                <c:pt idx="50">
                  <c:v>-2.0333952720625881E-3</c:v>
                </c:pt>
                <c:pt idx="51">
                  <c:v>-2.5469506543585041E-3</c:v>
                </c:pt>
                <c:pt idx="52">
                  <c:v>-1.568863553126798E-3</c:v>
                </c:pt>
                <c:pt idx="53">
                  <c:v>-1.168846114160349E-3</c:v>
                </c:pt>
                <c:pt idx="54">
                  <c:v>-8.766206253278952E-4</c:v>
                </c:pt>
                <c:pt idx="55">
                  <c:v>-4.0448322506647649E-4</c:v>
                </c:pt>
                <c:pt idx="56">
                  <c:v>-4.2041920843249869E-4</c:v>
                </c:pt>
                <c:pt idx="57">
                  <c:v>3.7462926171905053E-5</c:v>
                </c:pt>
                <c:pt idx="58">
                  <c:v>-7.5907621133897152E-4</c:v>
                </c:pt>
                <c:pt idx="59">
                  <c:v>-1.3839782843083626E-4</c:v>
                </c:pt>
                <c:pt idx="60">
                  <c:v>2.6110234949627831E-3</c:v>
                </c:pt>
                <c:pt idx="61">
                  <c:v>4.0607665631631207E-5</c:v>
                </c:pt>
                <c:pt idx="62">
                  <c:v>-6.3832360880033967E-4</c:v>
                </c:pt>
                <c:pt idx="63">
                  <c:v>-8.7689628927889451E-4</c:v>
                </c:pt>
                <c:pt idx="64">
                  <c:v>-2.058377504940978E-4</c:v>
                </c:pt>
                <c:pt idx="65">
                  <c:v>-3.7473049287584104E-5</c:v>
                </c:pt>
                <c:pt idx="66">
                  <c:v>-3.3515095573566356E-4</c:v>
                </c:pt>
                <c:pt idx="67">
                  <c:v>1.2689301541990439E-4</c:v>
                </c:pt>
                <c:pt idx="68">
                  <c:v>-1.7763447623644346E-3</c:v>
                </c:pt>
                <c:pt idx="69">
                  <c:v>1.0946672517508915E-4</c:v>
                </c:pt>
                <c:pt idx="70">
                  <c:v>-9.1191786801969599E-4</c:v>
                </c:pt>
                <c:pt idx="71">
                  <c:v>1.1631372109510707E-4</c:v>
                </c:pt>
                <c:pt idx="72">
                  <c:v>-1.3045773486353163E-4</c:v>
                </c:pt>
                <c:pt idx="73">
                  <c:v>-1.6286951926680615E-5</c:v>
                </c:pt>
                <c:pt idx="74">
                  <c:v>1.3308334246719955E-3</c:v>
                </c:pt>
                <c:pt idx="75">
                  <c:v>6.3995500070501699E-4</c:v>
                </c:pt>
                <c:pt idx="76">
                  <c:v>1.8479105919926297E-3</c:v>
                </c:pt>
                <c:pt idx="77">
                  <c:v>1.9867208184809471E-5</c:v>
                </c:pt>
                <c:pt idx="78">
                  <c:v>-3.2025899396281865E-4</c:v>
                </c:pt>
                <c:pt idx="79">
                  <c:v>-7.5558854598201108E-5</c:v>
                </c:pt>
                <c:pt idx="80">
                  <c:v>-9.5163623804572772E-4</c:v>
                </c:pt>
                <c:pt idx="81">
                  <c:v>-1.8784040589192585E-5</c:v>
                </c:pt>
                <c:pt idx="82">
                  <c:v>3.7894254841219777E-4</c:v>
                </c:pt>
                <c:pt idx="83">
                  <c:v>2.753509675887944E-4</c:v>
                </c:pt>
                <c:pt idx="84">
                  <c:v>-2.0697255617418975E-4</c:v>
                </c:pt>
                <c:pt idx="85">
                  <c:v>-5.7614609128053829E-4</c:v>
                </c:pt>
                <c:pt idx="86">
                  <c:v>-1.6070002038293119E-4</c:v>
                </c:pt>
                <c:pt idx="87">
                  <c:v>-9.1212286344122262E-5</c:v>
                </c:pt>
                <c:pt idx="88">
                  <c:v>3.4972899841512195E-4</c:v>
                </c:pt>
                <c:pt idx="89">
                  <c:v>-2.2085104086833063E-4</c:v>
                </c:pt>
                <c:pt idx="90">
                  <c:v>-3.4661203359953596E-4</c:v>
                </c:pt>
                <c:pt idx="91">
                  <c:v>1.4829456163512056E-4</c:v>
                </c:pt>
                <c:pt idx="92">
                  <c:v>3.493092886681648E-4</c:v>
                </c:pt>
                <c:pt idx="93">
                  <c:v>1.1151166417899816E-4</c:v>
                </c:pt>
                <c:pt idx="94">
                  <c:v>5.096534896413818E-4</c:v>
                </c:pt>
                <c:pt idx="95">
                  <c:v>1.4128411203140345E-4</c:v>
                </c:pt>
                <c:pt idx="96">
                  <c:v>-3.3828095693522187E-6</c:v>
                </c:pt>
                <c:pt idx="97">
                  <c:v>-1.3572324846822248E-4</c:v>
                </c:pt>
                <c:pt idx="98">
                  <c:v>7.9633994485739379E-5</c:v>
                </c:pt>
                <c:pt idx="99">
                  <c:v>4.1525663526265078E-4</c:v>
                </c:pt>
                <c:pt idx="100">
                  <c:v>-1.787142723432833E-4</c:v>
                </c:pt>
                <c:pt idx="101">
                  <c:v>-4.4246707622708215E-5</c:v>
                </c:pt>
                <c:pt idx="102">
                  <c:v>-1.2514867143864628E-4</c:v>
                </c:pt>
                <c:pt idx="103">
                  <c:v>-1.0615346429632133E-4</c:v>
                </c:pt>
                <c:pt idx="104">
                  <c:v>-2.0108643228788914E-4</c:v>
                </c:pt>
                <c:pt idx="105">
                  <c:v>2.8816717572155426E-6</c:v>
                </c:pt>
                <c:pt idx="106">
                  <c:v>-1.1545891648467865E-4</c:v>
                </c:pt>
                <c:pt idx="107">
                  <c:v>2.1496503362916641E-5</c:v>
                </c:pt>
                <c:pt idx="108">
                  <c:v>3.5235178508385978E-4</c:v>
                </c:pt>
                <c:pt idx="109">
                  <c:v>-1.1159816519357157E-4</c:v>
                </c:pt>
                <c:pt idx="110">
                  <c:v>6.495670377915097E-5</c:v>
                </c:pt>
                <c:pt idx="111">
                  <c:v>5.6962596646892294E-5</c:v>
                </c:pt>
                <c:pt idx="112">
                  <c:v>-3.40138730128281E-5</c:v>
                </c:pt>
                <c:pt idx="113">
                  <c:v>-1.5740849909429144E-4</c:v>
                </c:pt>
                <c:pt idx="114">
                  <c:v>-2.1649247716148956E-4</c:v>
                </c:pt>
                <c:pt idx="115">
                  <c:v>-9.9373575775274503E-5</c:v>
                </c:pt>
                <c:pt idx="116">
                  <c:v>-3.4272423657211171E-4</c:v>
                </c:pt>
                <c:pt idx="117">
                  <c:v>-1.6731888330889788E-4</c:v>
                </c:pt>
                <c:pt idx="118">
                  <c:v>-2.4799499162897476E-5</c:v>
                </c:pt>
                <c:pt idx="119">
                  <c:v>-6.5625657271084492E-5</c:v>
                </c:pt>
                <c:pt idx="120">
                  <c:v>-1.0884251006970658E-4</c:v>
                </c:pt>
                <c:pt idx="121">
                  <c:v>3.1009912025981023E-5</c:v>
                </c:pt>
                <c:pt idx="122">
                  <c:v>1.2228366458222339E-4</c:v>
                </c:pt>
                <c:pt idx="123">
                  <c:v>5.1103693882081913E-4</c:v>
                </c:pt>
                <c:pt idx="124">
                  <c:v>3.2058866205653125E-4</c:v>
                </c:pt>
                <c:pt idx="125">
                  <c:v>3.1787042189024284E-4</c:v>
                </c:pt>
                <c:pt idx="126">
                  <c:v>2.6776189359423164E-4</c:v>
                </c:pt>
                <c:pt idx="127">
                  <c:v>-3.1806673343104386E-4</c:v>
                </c:pt>
                <c:pt idx="128">
                  <c:v>-3.4343257527491566E-4</c:v>
                </c:pt>
                <c:pt idx="129">
                  <c:v>-2.8348302572211992E-4</c:v>
                </c:pt>
                <c:pt idx="130">
                  <c:v>-3.1646879265356809E-4</c:v>
                </c:pt>
                <c:pt idx="131">
                  <c:v>-4.0882727702928889E-4</c:v>
                </c:pt>
                <c:pt idx="132">
                  <c:v>-1.2605901115159135E-4</c:v>
                </c:pt>
                <c:pt idx="133">
                  <c:v>1.1306799963040071E-4</c:v>
                </c:pt>
                <c:pt idx="134">
                  <c:v>2.8032102622610466E-4</c:v>
                </c:pt>
                <c:pt idx="135">
                  <c:v>2.2355477528712697E-4</c:v>
                </c:pt>
                <c:pt idx="136">
                  <c:v>2.3826844406227288E-4</c:v>
                </c:pt>
                <c:pt idx="137">
                  <c:v>3.6963433657755118E-4</c:v>
                </c:pt>
                <c:pt idx="138">
                  <c:v>3.5281774064133131E-4</c:v>
                </c:pt>
                <c:pt idx="139">
                  <c:v>2.2392006805782572E-4</c:v>
                </c:pt>
                <c:pt idx="140">
                  <c:v>7.6461207652922525E-5</c:v>
                </c:pt>
                <c:pt idx="141">
                  <c:v>1.4538713076062137E-4</c:v>
                </c:pt>
                <c:pt idx="142">
                  <c:v>7.9638751623312132E-5</c:v>
                </c:pt>
                <c:pt idx="143">
                  <c:v>-1.5049651416054743E-4</c:v>
                </c:pt>
                <c:pt idx="144">
                  <c:v>-4.3012480141380038E-4</c:v>
                </c:pt>
                <c:pt idx="145">
                  <c:v>-5.8521266947919592E-4</c:v>
                </c:pt>
                <c:pt idx="146">
                  <c:v>-3.9941256329578678E-4</c:v>
                </c:pt>
                <c:pt idx="147">
                  <c:v>-3.2740770260097918E-4</c:v>
                </c:pt>
                <c:pt idx="148">
                  <c:v>-4.010452814633414E-4</c:v>
                </c:pt>
                <c:pt idx="149">
                  <c:v>-2.7698546704391092E-4</c:v>
                </c:pt>
                <c:pt idx="150">
                  <c:v>-1.8521639760349373E-4</c:v>
                </c:pt>
                <c:pt idx="151">
                  <c:v>-1.1964727844238077E-4</c:v>
                </c:pt>
                <c:pt idx="152">
                  <c:v>3.7893458423954307E-4</c:v>
                </c:pt>
                <c:pt idx="153">
                  <c:v>4.7925883235100386E-5</c:v>
                </c:pt>
                <c:pt idx="154">
                  <c:v>1.7546201975515707E-4</c:v>
                </c:pt>
                <c:pt idx="155">
                  <c:v>5.6399253551497885E-4</c:v>
                </c:pt>
                <c:pt idx="156">
                  <c:v>5.2232671350971316E-4</c:v>
                </c:pt>
                <c:pt idx="157">
                  <c:v>3.4686002290840179E-4</c:v>
                </c:pt>
                <c:pt idx="158">
                  <c:v>4.7233892823705936E-4</c:v>
                </c:pt>
                <c:pt idx="159">
                  <c:v>9.9667720800500348E-5</c:v>
                </c:pt>
                <c:pt idx="160">
                  <c:v>1.8436675254362989E-4</c:v>
                </c:pt>
                <c:pt idx="161">
                  <c:v>1.4891500370772803E-4</c:v>
                </c:pt>
                <c:pt idx="162">
                  <c:v>4.5144869456414938E-4</c:v>
                </c:pt>
                <c:pt idx="163">
                  <c:v>5.2747862015967151E-4</c:v>
                </c:pt>
                <c:pt idx="164">
                  <c:v>5.4085772612411098E-4</c:v>
                </c:pt>
                <c:pt idx="165">
                  <c:v>1.1435324025121929E-4</c:v>
                </c:pt>
                <c:pt idx="166">
                  <c:v>1.1999899040016082E-4</c:v>
                </c:pt>
                <c:pt idx="167">
                  <c:v>-2.0651996620935087E-4</c:v>
                </c:pt>
                <c:pt idx="168">
                  <c:v>1.9731717533888471E-5</c:v>
                </c:pt>
                <c:pt idx="169">
                  <c:v>-3.3607250005562861E-4</c:v>
                </c:pt>
                <c:pt idx="170">
                  <c:v>-2.305993998248379E-4</c:v>
                </c:pt>
                <c:pt idx="171">
                  <c:v>-8.816142984391373E-4</c:v>
                </c:pt>
                <c:pt idx="172">
                  <c:v>1.0243138537679997E-4</c:v>
                </c:pt>
                <c:pt idx="173">
                  <c:v>2.2641215174257212E-5</c:v>
                </c:pt>
                <c:pt idx="174">
                  <c:v>-1.8017930461877718E-4</c:v>
                </c:pt>
                <c:pt idx="175">
                  <c:v>-1.9265497352582983E-4</c:v>
                </c:pt>
                <c:pt idx="176">
                  <c:v>-3.6169987971201856E-4</c:v>
                </c:pt>
                <c:pt idx="177">
                  <c:v>-1.5310458849837616E-5</c:v>
                </c:pt>
                <c:pt idx="178">
                  <c:v>-2.3220577956872823E-4</c:v>
                </c:pt>
                <c:pt idx="179">
                  <c:v>-3.1153264653793755E-4</c:v>
                </c:pt>
                <c:pt idx="180">
                  <c:v>2.7296903591045307E-5</c:v>
                </c:pt>
                <c:pt idx="181">
                  <c:v>2.4699860853294453E-5</c:v>
                </c:pt>
                <c:pt idx="182">
                  <c:v>-7.9020683352526433E-5</c:v>
                </c:pt>
                <c:pt idx="183">
                  <c:v>-6.898693285961599E-5</c:v>
                </c:pt>
                <c:pt idx="184">
                  <c:v>2.8862865435286267E-4</c:v>
                </c:pt>
                <c:pt idx="185">
                  <c:v>-2.5542995368521559E-4</c:v>
                </c:pt>
                <c:pt idx="186">
                  <c:v>7.9310763465345602E-5</c:v>
                </c:pt>
                <c:pt idx="187">
                  <c:v>9.3165037374554061E-5</c:v>
                </c:pt>
                <c:pt idx="188">
                  <c:v>5.6348736839684221E-5</c:v>
                </c:pt>
                <c:pt idx="189">
                  <c:v>-4.098545219344274E-5</c:v>
                </c:pt>
                <c:pt idx="190">
                  <c:v>-1.7872680700947718E-4</c:v>
                </c:pt>
                <c:pt idx="191">
                  <c:v>-9.5122939646863358E-5</c:v>
                </c:pt>
                <c:pt idx="192">
                  <c:v>-2.3920573082314434E-6</c:v>
                </c:pt>
                <c:pt idx="193">
                  <c:v>-1.4026433904490432E-4</c:v>
                </c:pt>
                <c:pt idx="194">
                  <c:v>1.431538429352841E-6</c:v>
                </c:pt>
                <c:pt idx="195">
                  <c:v>-1.2719095894442312E-4</c:v>
                </c:pt>
                <c:pt idx="196">
                  <c:v>-7.605401293941938E-5</c:v>
                </c:pt>
                <c:pt idx="197">
                  <c:v>2.9489733979359833E-4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D5A-49FB-8948-C9AD7BE2E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04832"/>
        <c:axId val="156506368"/>
      </c:scatterChart>
      <c:valAx>
        <c:axId val="156504832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506368"/>
        <c:crosses val="autoZero"/>
        <c:crossBetween val="midCat"/>
      </c:valAx>
      <c:valAx>
        <c:axId val="15650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504832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2458105358189446"/>
          <c:y val="0.12280701754385964"/>
          <c:w val="0.11312852883680802"/>
          <c:h val="9.941520467836256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9829897510115"/>
          <c:y val="4.9891540130151846E-2"/>
          <c:w val="0.83117000243788675"/>
          <c:h val="0.830802603036876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'1_Rh110 in buffer'!$B$1</c:f>
              <c:strCache>
                <c:ptCount val="1"/>
                <c:pt idx="0">
                  <c:v>Rh110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'1_Rh110 in buffer'!$A$2:$A$252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'1_Rh110 in buffer'!$B$2:$B$252</c:f>
              <c:numCache>
                <c:formatCode>General</c:formatCode>
                <c:ptCount val="251"/>
                <c:pt idx="0">
                  <c:v>1.1507099999999999</c:v>
                </c:pt>
                <c:pt idx="1">
                  <c:v>1.2054800000000001</c:v>
                </c:pt>
                <c:pt idx="2">
                  <c:v>1.2471300000000001</c:v>
                </c:pt>
                <c:pt idx="3">
                  <c:v>1.23943</c:v>
                </c:pt>
                <c:pt idx="4">
                  <c:v>1.2675000000000001</c:v>
                </c:pt>
                <c:pt idx="5">
                  <c:v>1.2455000000000001</c:v>
                </c:pt>
                <c:pt idx="6">
                  <c:v>1.2417899999999999</c:v>
                </c:pt>
                <c:pt idx="7">
                  <c:v>1.2420599999999999</c:v>
                </c:pt>
                <c:pt idx="8">
                  <c:v>1.2522899999999999</c:v>
                </c:pt>
                <c:pt idx="9">
                  <c:v>1.22377</c:v>
                </c:pt>
                <c:pt idx="10">
                  <c:v>1.24949</c:v>
                </c:pt>
                <c:pt idx="11">
                  <c:v>1.23699</c:v>
                </c:pt>
                <c:pt idx="12">
                  <c:v>1.23228</c:v>
                </c:pt>
                <c:pt idx="13">
                  <c:v>1.26841</c:v>
                </c:pt>
                <c:pt idx="14">
                  <c:v>1.2489399999999999</c:v>
                </c:pt>
                <c:pt idx="15">
                  <c:v>1.24536</c:v>
                </c:pt>
                <c:pt idx="16">
                  <c:v>1.25922</c:v>
                </c:pt>
                <c:pt idx="17">
                  <c:v>1.2517</c:v>
                </c:pt>
                <c:pt idx="18">
                  <c:v>1.2471300000000001</c:v>
                </c:pt>
                <c:pt idx="19">
                  <c:v>1.24586</c:v>
                </c:pt>
                <c:pt idx="20">
                  <c:v>1.2406600000000001</c:v>
                </c:pt>
                <c:pt idx="21">
                  <c:v>1.2402899999999999</c:v>
                </c:pt>
                <c:pt idx="22">
                  <c:v>1.24129</c:v>
                </c:pt>
                <c:pt idx="23">
                  <c:v>1.2423999999999999</c:v>
                </c:pt>
                <c:pt idx="24">
                  <c:v>1.2504299999999999</c:v>
                </c:pt>
                <c:pt idx="25">
                  <c:v>1.2462</c:v>
                </c:pt>
                <c:pt idx="26">
                  <c:v>1.2539400000000001</c:v>
                </c:pt>
                <c:pt idx="27">
                  <c:v>1.2369699999999999</c:v>
                </c:pt>
                <c:pt idx="28">
                  <c:v>1.2459800000000001</c:v>
                </c:pt>
                <c:pt idx="29">
                  <c:v>1.2456400000000001</c:v>
                </c:pt>
                <c:pt idx="30">
                  <c:v>1.23844</c:v>
                </c:pt>
                <c:pt idx="31">
                  <c:v>1.2448999999999999</c:v>
                </c:pt>
                <c:pt idx="32">
                  <c:v>1.2421500000000001</c:v>
                </c:pt>
                <c:pt idx="33">
                  <c:v>1.2516</c:v>
                </c:pt>
                <c:pt idx="34">
                  <c:v>1.2414700000000001</c:v>
                </c:pt>
                <c:pt idx="35">
                  <c:v>1.2398899999999999</c:v>
                </c:pt>
                <c:pt idx="36">
                  <c:v>1.23655</c:v>
                </c:pt>
                <c:pt idx="37">
                  <c:v>1.2437100000000001</c:v>
                </c:pt>
                <c:pt idx="38">
                  <c:v>1.2388999999999999</c:v>
                </c:pt>
                <c:pt idx="39">
                  <c:v>1.24241</c:v>
                </c:pt>
                <c:pt idx="40">
                  <c:v>1.2424299999999999</c:v>
                </c:pt>
                <c:pt idx="41">
                  <c:v>1.24363</c:v>
                </c:pt>
                <c:pt idx="42">
                  <c:v>1.2414799999999999</c:v>
                </c:pt>
                <c:pt idx="43">
                  <c:v>1.2401500000000001</c:v>
                </c:pt>
                <c:pt idx="44">
                  <c:v>1.2406699999999999</c:v>
                </c:pt>
                <c:pt idx="45">
                  <c:v>1.2426299999999999</c:v>
                </c:pt>
                <c:pt idx="46">
                  <c:v>1.2426600000000001</c:v>
                </c:pt>
                <c:pt idx="47">
                  <c:v>1.2401199999999999</c:v>
                </c:pt>
                <c:pt idx="48">
                  <c:v>1.23949</c:v>
                </c:pt>
                <c:pt idx="49">
                  <c:v>1.2397400000000001</c:v>
                </c:pt>
                <c:pt idx="50">
                  <c:v>1.23543</c:v>
                </c:pt>
                <c:pt idx="51">
                  <c:v>1.2380100000000001</c:v>
                </c:pt>
                <c:pt idx="52">
                  <c:v>1.23621</c:v>
                </c:pt>
                <c:pt idx="53">
                  <c:v>1.2379599999999999</c:v>
                </c:pt>
                <c:pt idx="54">
                  <c:v>1.2357100000000001</c:v>
                </c:pt>
                <c:pt idx="55">
                  <c:v>1.2364599999999999</c:v>
                </c:pt>
                <c:pt idx="56">
                  <c:v>1.2375499999999999</c:v>
                </c:pt>
                <c:pt idx="57">
                  <c:v>1.2333400000000001</c:v>
                </c:pt>
                <c:pt idx="58">
                  <c:v>1.23451</c:v>
                </c:pt>
                <c:pt idx="59">
                  <c:v>1.23245</c:v>
                </c:pt>
                <c:pt idx="60">
                  <c:v>1.23302</c:v>
                </c:pt>
                <c:pt idx="61">
                  <c:v>1.2326600000000001</c:v>
                </c:pt>
                <c:pt idx="62">
                  <c:v>1.2306999999999999</c:v>
                </c:pt>
                <c:pt idx="63">
                  <c:v>1.23119</c:v>
                </c:pt>
                <c:pt idx="64">
                  <c:v>1.22997</c:v>
                </c:pt>
                <c:pt idx="65">
                  <c:v>1.2288399999999999</c:v>
                </c:pt>
                <c:pt idx="66">
                  <c:v>1.2289000000000001</c:v>
                </c:pt>
                <c:pt idx="67">
                  <c:v>1.22984</c:v>
                </c:pt>
                <c:pt idx="68">
                  <c:v>1.2282999999999999</c:v>
                </c:pt>
                <c:pt idx="69">
                  <c:v>1.22614</c:v>
                </c:pt>
                <c:pt idx="70">
                  <c:v>1.2253400000000001</c:v>
                </c:pt>
                <c:pt idx="71">
                  <c:v>1.22542</c:v>
                </c:pt>
                <c:pt idx="72">
                  <c:v>1.2233400000000001</c:v>
                </c:pt>
                <c:pt idx="73">
                  <c:v>1.22254</c:v>
                </c:pt>
                <c:pt idx="74">
                  <c:v>1.2209000000000001</c:v>
                </c:pt>
                <c:pt idx="75">
                  <c:v>1.2204200000000001</c:v>
                </c:pt>
                <c:pt idx="76">
                  <c:v>1.2197100000000001</c:v>
                </c:pt>
                <c:pt idx="77">
                  <c:v>1.2179899999999999</c:v>
                </c:pt>
                <c:pt idx="78">
                  <c:v>1.2156100000000001</c:v>
                </c:pt>
                <c:pt idx="79">
                  <c:v>1.21549</c:v>
                </c:pt>
                <c:pt idx="80">
                  <c:v>1.21316</c:v>
                </c:pt>
                <c:pt idx="81">
                  <c:v>1.21072</c:v>
                </c:pt>
                <c:pt idx="82">
                  <c:v>1.2099200000000001</c:v>
                </c:pt>
                <c:pt idx="83">
                  <c:v>1.2069000000000001</c:v>
                </c:pt>
                <c:pt idx="84">
                  <c:v>1.20441</c:v>
                </c:pt>
                <c:pt idx="85">
                  <c:v>1.2020500000000001</c:v>
                </c:pt>
                <c:pt idx="86">
                  <c:v>1.2007399999999999</c:v>
                </c:pt>
                <c:pt idx="87">
                  <c:v>1.1994899999999999</c:v>
                </c:pt>
                <c:pt idx="88">
                  <c:v>1.19537</c:v>
                </c:pt>
                <c:pt idx="89">
                  <c:v>1.19201</c:v>
                </c:pt>
                <c:pt idx="90">
                  <c:v>1.1884399999999999</c:v>
                </c:pt>
                <c:pt idx="91">
                  <c:v>1.1853199999999999</c:v>
                </c:pt>
                <c:pt idx="92">
                  <c:v>1.1824600000000001</c:v>
                </c:pt>
                <c:pt idx="93">
                  <c:v>1.1791700000000001</c:v>
                </c:pt>
                <c:pt idx="94">
                  <c:v>1.1760999999999999</c:v>
                </c:pt>
                <c:pt idx="95">
                  <c:v>1.1732400000000001</c:v>
                </c:pt>
                <c:pt idx="96">
                  <c:v>1.16744</c:v>
                </c:pt>
                <c:pt idx="97">
                  <c:v>1.1621900000000001</c:v>
                </c:pt>
                <c:pt idx="98">
                  <c:v>1.15791</c:v>
                </c:pt>
                <c:pt idx="99">
                  <c:v>1.15343</c:v>
                </c:pt>
                <c:pt idx="100">
                  <c:v>1.1487499999999999</c:v>
                </c:pt>
                <c:pt idx="101">
                  <c:v>1.14493</c:v>
                </c:pt>
                <c:pt idx="102">
                  <c:v>1.1408799999999999</c:v>
                </c:pt>
                <c:pt idx="103">
                  <c:v>1.1374599999999999</c:v>
                </c:pt>
                <c:pt idx="104">
                  <c:v>1.1307199999999999</c:v>
                </c:pt>
                <c:pt idx="105">
                  <c:v>1.1242099999999999</c:v>
                </c:pt>
                <c:pt idx="106">
                  <c:v>1.11863</c:v>
                </c:pt>
                <c:pt idx="107">
                  <c:v>1.11331</c:v>
                </c:pt>
                <c:pt idx="108">
                  <c:v>1.1085499999999999</c:v>
                </c:pt>
                <c:pt idx="109">
                  <c:v>1.10422</c:v>
                </c:pt>
                <c:pt idx="110">
                  <c:v>1.1003799999999999</c:v>
                </c:pt>
                <c:pt idx="111">
                  <c:v>1.09667</c:v>
                </c:pt>
                <c:pt idx="112">
                  <c:v>1.0900799999999999</c:v>
                </c:pt>
                <c:pt idx="113">
                  <c:v>1.08389</c:v>
                </c:pt>
                <c:pt idx="114">
                  <c:v>1.0786</c:v>
                </c:pt>
                <c:pt idx="115">
                  <c:v>1.0735399999999999</c:v>
                </c:pt>
                <c:pt idx="116">
                  <c:v>1.0697300000000001</c:v>
                </c:pt>
                <c:pt idx="117">
                  <c:v>1.0660700000000001</c:v>
                </c:pt>
                <c:pt idx="118">
                  <c:v>1.0624800000000001</c:v>
                </c:pt>
                <c:pt idx="119">
                  <c:v>1.0595300000000001</c:v>
                </c:pt>
                <c:pt idx="120">
                  <c:v>1.0540700000000001</c:v>
                </c:pt>
                <c:pt idx="121">
                  <c:v>1.0496399999999999</c:v>
                </c:pt>
                <c:pt idx="122">
                  <c:v>1.04599</c:v>
                </c:pt>
                <c:pt idx="123">
                  <c:v>1.0425199999999999</c:v>
                </c:pt>
                <c:pt idx="124">
                  <c:v>1.03975</c:v>
                </c:pt>
                <c:pt idx="125">
                  <c:v>1.03728</c:v>
                </c:pt>
                <c:pt idx="126">
                  <c:v>1.0351300000000001</c:v>
                </c:pt>
                <c:pt idx="127">
                  <c:v>1.0331399999999999</c:v>
                </c:pt>
                <c:pt idx="128">
                  <c:v>1.0295700000000001</c:v>
                </c:pt>
                <c:pt idx="129">
                  <c:v>1.02671</c:v>
                </c:pt>
                <c:pt idx="130">
                  <c:v>1.02458</c:v>
                </c:pt>
                <c:pt idx="131">
                  <c:v>1.0228200000000001</c:v>
                </c:pt>
                <c:pt idx="132">
                  <c:v>1.02102</c:v>
                </c:pt>
                <c:pt idx="133">
                  <c:v>1.01942</c:v>
                </c:pt>
                <c:pt idx="134">
                  <c:v>1.01799</c:v>
                </c:pt>
                <c:pt idx="135">
                  <c:v>1.0168600000000001</c:v>
                </c:pt>
                <c:pt idx="136">
                  <c:v>1.01474</c:v>
                </c:pt>
                <c:pt idx="137">
                  <c:v>1.0131600000000001</c:v>
                </c:pt>
                <c:pt idx="138">
                  <c:v>1.01214</c:v>
                </c:pt>
                <c:pt idx="139">
                  <c:v>1.01088</c:v>
                </c:pt>
                <c:pt idx="140">
                  <c:v>1.0096799999999999</c:v>
                </c:pt>
                <c:pt idx="141">
                  <c:v>1.0089600000000001</c:v>
                </c:pt>
                <c:pt idx="142">
                  <c:v>1.0081599999999999</c:v>
                </c:pt>
                <c:pt idx="143">
                  <c:v>1.00743</c:v>
                </c:pt>
                <c:pt idx="144">
                  <c:v>1.0063</c:v>
                </c:pt>
                <c:pt idx="145">
                  <c:v>1.00539</c:v>
                </c:pt>
                <c:pt idx="146">
                  <c:v>1.00478</c:v>
                </c:pt>
                <c:pt idx="147">
                  <c:v>1.00413</c:v>
                </c:pt>
                <c:pt idx="148">
                  <c:v>1.0039199999999999</c:v>
                </c:pt>
                <c:pt idx="149">
                  <c:v>1.0035400000000001</c:v>
                </c:pt>
                <c:pt idx="150">
                  <c:v>1.00332</c:v>
                </c:pt>
                <c:pt idx="151">
                  <c:v>1.0030699999999999</c:v>
                </c:pt>
                <c:pt idx="152">
                  <c:v>1.0027699999999999</c:v>
                </c:pt>
                <c:pt idx="153">
                  <c:v>1.0019100000000001</c:v>
                </c:pt>
                <c:pt idx="154">
                  <c:v>1.0015000000000001</c:v>
                </c:pt>
                <c:pt idx="155">
                  <c:v>1.00162</c:v>
                </c:pt>
                <c:pt idx="156">
                  <c:v>1.0020100000000001</c:v>
                </c:pt>
                <c:pt idx="157">
                  <c:v>1.0016</c:v>
                </c:pt>
                <c:pt idx="158">
                  <c:v>1.00116</c:v>
                </c:pt>
                <c:pt idx="159">
                  <c:v>1.0010600000000001</c:v>
                </c:pt>
                <c:pt idx="160">
                  <c:v>1.00146</c:v>
                </c:pt>
                <c:pt idx="161">
                  <c:v>1.0012000000000001</c:v>
                </c:pt>
                <c:pt idx="162">
                  <c:v>1.0006600000000001</c:v>
                </c:pt>
                <c:pt idx="163">
                  <c:v>1.00071</c:v>
                </c:pt>
                <c:pt idx="164">
                  <c:v>1.0005999999999999</c:v>
                </c:pt>
                <c:pt idx="165">
                  <c:v>1.0009699999999999</c:v>
                </c:pt>
                <c:pt idx="166">
                  <c:v>1.00092</c:v>
                </c:pt>
                <c:pt idx="167">
                  <c:v>1.0004900000000001</c:v>
                </c:pt>
                <c:pt idx="168">
                  <c:v>1.00014</c:v>
                </c:pt>
                <c:pt idx="169">
                  <c:v>1.0002200000000001</c:v>
                </c:pt>
                <c:pt idx="170">
                  <c:v>1.00058</c:v>
                </c:pt>
                <c:pt idx="171">
                  <c:v>1.0002800000000001</c:v>
                </c:pt>
                <c:pt idx="172">
                  <c:v>1.0002599999999999</c:v>
                </c:pt>
                <c:pt idx="173">
                  <c:v>1.0005599999999999</c:v>
                </c:pt>
                <c:pt idx="174">
                  <c:v>1.0006900000000001</c:v>
                </c:pt>
                <c:pt idx="175">
                  <c:v>1.0004200000000001</c:v>
                </c:pt>
                <c:pt idx="176">
                  <c:v>1.00017</c:v>
                </c:pt>
                <c:pt idx="177">
                  <c:v>0.99990000000000001</c:v>
                </c:pt>
                <c:pt idx="178">
                  <c:v>0.99992000000000003</c:v>
                </c:pt>
                <c:pt idx="179">
                  <c:v>0.99988500000000002</c:v>
                </c:pt>
                <c:pt idx="180">
                  <c:v>0.99999099999999996</c:v>
                </c:pt>
                <c:pt idx="181">
                  <c:v>0.99971900000000002</c:v>
                </c:pt>
                <c:pt idx="182">
                  <c:v>1.0003899999999999</c:v>
                </c:pt>
                <c:pt idx="183">
                  <c:v>1.00027</c:v>
                </c:pt>
                <c:pt idx="184">
                  <c:v>1.00024</c:v>
                </c:pt>
                <c:pt idx="185">
                  <c:v>1.0002500000000001</c:v>
                </c:pt>
                <c:pt idx="186">
                  <c:v>1.00023</c:v>
                </c:pt>
                <c:pt idx="187">
                  <c:v>1.0002200000000001</c:v>
                </c:pt>
                <c:pt idx="188">
                  <c:v>1.0002500000000001</c:v>
                </c:pt>
                <c:pt idx="189">
                  <c:v>1.0006299999999999</c:v>
                </c:pt>
                <c:pt idx="190">
                  <c:v>1.0002</c:v>
                </c:pt>
                <c:pt idx="191">
                  <c:v>1.0000800000000001</c:v>
                </c:pt>
                <c:pt idx="192">
                  <c:v>1.0002800000000001</c:v>
                </c:pt>
                <c:pt idx="193">
                  <c:v>1.0004200000000001</c:v>
                </c:pt>
                <c:pt idx="194">
                  <c:v>1.0001100000000001</c:v>
                </c:pt>
                <c:pt idx="195">
                  <c:v>1.00024</c:v>
                </c:pt>
                <c:pt idx="196">
                  <c:v>1.0002200000000001</c:v>
                </c:pt>
                <c:pt idx="197">
                  <c:v>1.0000800000000001</c:v>
                </c:pt>
                <c:pt idx="198">
                  <c:v>1.00014</c:v>
                </c:pt>
                <c:pt idx="199">
                  <c:v>1.00004</c:v>
                </c:pt>
                <c:pt idx="200">
                  <c:v>1.0003</c:v>
                </c:pt>
                <c:pt idx="201">
                  <c:v>1.0001100000000001</c:v>
                </c:pt>
                <c:pt idx="202">
                  <c:v>1.0002599999999999</c:v>
                </c:pt>
                <c:pt idx="203">
                  <c:v>1.0004299999999999</c:v>
                </c:pt>
                <c:pt idx="204">
                  <c:v>1.0003200000000001</c:v>
                </c:pt>
                <c:pt idx="205">
                  <c:v>1.00038</c:v>
                </c:pt>
                <c:pt idx="206">
                  <c:v>1.0003299999999999</c:v>
                </c:pt>
                <c:pt idx="207">
                  <c:v>1.00041</c:v>
                </c:pt>
                <c:pt idx="208">
                  <c:v>1.00044</c:v>
                </c:pt>
                <c:pt idx="209">
                  <c:v>1.00034</c:v>
                </c:pt>
                <c:pt idx="210">
                  <c:v>1.0004500000000001</c:v>
                </c:pt>
                <c:pt idx="211">
                  <c:v>1.00065</c:v>
                </c:pt>
                <c:pt idx="212">
                  <c:v>1.0005900000000001</c:v>
                </c:pt>
                <c:pt idx="213">
                  <c:v>1.00057</c:v>
                </c:pt>
                <c:pt idx="214">
                  <c:v>1.0005999999999999</c:v>
                </c:pt>
                <c:pt idx="215">
                  <c:v>1.0006299999999999</c:v>
                </c:pt>
                <c:pt idx="216">
                  <c:v>1.0006200000000001</c:v>
                </c:pt>
                <c:pt idx="217">
                  <c:v>1.0006999999999999</c:v>
                </c:pt>
                <c:pt idx="218">
                  <c:v>1.0005900000000001</c:v>
                </c:pt>
                <c:pt idx="219">
                  <c:v>1.0007600000000001</c:v>
                </c:pt>
                <c:pt idx="220">
                  <c:v>1.00075</c:v>
                </c:pt>
                <c:pt idx="221">
                  <c:v>1.00099</c:v>
                </c:pt>
                <c:pt idx="222">
                  <c:v>1.0010300000000001</c:v>
                </c:pt>
                <c:pt idx="223">
                  <c:v>1.0012399999999999</c:v>
                </c:pt>
                <c:pt idx="224">
                  <c:v>1.0012399999999999</c:v>
                </c:pt>
                <c:pt idx="225">
                  <c:v>1.00119</c:v>
                </c:pt>
                <c:pt idx="226">
                  <c:v>1.0012099999999999</c:v>
                </c:pt>
                <c:pt idx="227">
                  <c:v>1.00125</c:v>
                </c:pt>
                <c:pt idx="228">
                  <c:v>1.00118</c:v>
                </c:pt>
                <c:pt idx="229">
                  <c:v>1.0012399999999999</c:v>
                </c:pt>
                <c:pt idx="230">
                  <c:v>1.00142</c:v>
                </c:pt>
                <c:pt idx="231">
                  <c:v>1.0015799999999999</c:v>
                </c:pt>
                <c:pt idx="232">
                  <c:v>1.00173</c:v>
                </c:pt>
                <c:pt idx="233">
                  <c:v>1.0018199999999999</c:v>
                </c:pt>
                <c:pt idx="234">
                  <c:v>1.00186</c:v>
                </c:pt>
                <c:pt idx="235">
                  <c:v>1.0023200000000001</c:v>
                </c:pt>
                <c:pt idx="236">
                  <c:v>1.0024500000000001</c:v>
                </c:pt>
                <c:pt idx="237">
                  <c:v>1.0024200000000001</c:v>
                </c:pt>
                <c:pt idx="238">
                  <c:v>1.0022500000000001</c:v>
                </c:pt>
                <c:pt idx="239">
                  <c:v>1.0028999999999999</c:v>
                </c:pt>
                <c:pt idx="240">
                  <c:v>1.0032300000000001</c:v>
                </c:pt>
                <c:pt idx="241">
                  <c:v>1.00393</c:v>
                </c:pt>
                <c:pt idx="242">
                  <c:v>1.0039100000000001</c:v>
                </c:pt>
                <c:pt idx="243">
                  <c:v>1.0038800000000001</c:v>
                </c:pt>
                <c:pt idx="244">
                  <c:v>1.0045599999999999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15-4D3C-9167-7D798AF00184}"/>
            </c:ext>
          </c:extLst>
        </c:ser>
        <c:ser>
          <c:idx val="1"/>
          <c:order val="1"/>
          <c:tx>
            <c:strRef>
              <c:f>'1_Rh110 in buffer'!$E$1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'1_Rh110 in buffer'!$A$3:$A$252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'1_Rh110 in buffer'!$E$3:$E$200</c:f>
              <c:numCache>
                <c:formatCode>General</c:formatCode>
                <c:ptCount val="198"/>
                <c:pt idx="0">
                  <c:v>1.246221146432331</c:v>
                </c:pt>
                <c:pt idx="1">
                  <c:v>1.2461904920788944</c:v>
                </c:pt>
                <c:pt idx="2">
                  <c:v>1.2461598948849377</c:v>
                </c:pt>
                <c:pt idx="3">
                  <c:v>1.2461293547238277</c:v>
                </c:pt>
                <c:pt idx="4">
                  <c:v>1.2460988714692136</c:v>
                </c:pt>
                <c:pt idx="5">
                  <c:v>1.2460684449950254</c:v>
                </c:pt>
                <c:pt idx="6">
                  <c:v>1.2460380751754736</c:v>
                </c:pt>
                <c:pt idx="7">
                  <c:v>1.2460077618850476</c:v>
                </c:pt>
                <c:pt idx="8">
                  <c:v>1.2459775049985167</c:v>
                </c:pt>
                <c:pt idx="9">
                  <c:v>1.2459473043909282</c:v>
                </c:pt>
                <c:pt idx="10">
                  <c:v>1.2459171599376075</c:v>
                </c:pt>
                <c:pt idx="11">
                  <c:v>1.2458870715141572</c:v>
                </c:pt>
                <c:pt idx="12">
                  <c:v>1.2458570389964561</c:v>
                </c:pt>
                <c:pt idx="13">
                  <c:v>1.2458270622606593</c:v>
                </c:pt>
                <c:pt idx="14">
                  <c:v>1.2457971411831972</c:v>
                </c:pt>
                <c:pt idx="15">
                  <c:v>1.2457374655103723</c:v>
                </c:pt>
                <c:pt idx="16">
                  <c:v>1.2456780109949086</c:v>
                </c:pt>
                <c:pt idx="17">
                  <c:v>1.2456187766580997</c:v>
                </c:pt>
                <c:pt idx="18">
                  <c:v>1.2455597615255876</c:v>
                </c:pt>
                <c:pt idx="19">
                  <c:v>1.2455009646273414</c:v>
                </c:pt>
                <c:pt idx="20">
                  <c:v>1.2454423849976393</c:v>
                </c:pt>
                <c:pt idx="21">
                  <c:v>1.2453840216750494</c:v>
                </c:pt>
                <c:pt idx="22">
                  <c:v>1.2453258737024102</c:v>
                </c:pt>
                <c:pt idx="23">
                  <c:v>1.2452102199995769</c:v>
                </c:pt>
                <c:pt idx="24">
                  <c:v>1.2450954163165417</c:v>
                </c:pt>
                <c:pt idx="25">
                  <c:v>1.2449814551478302</c:v>
                </c:pt>
                <c:pt idx="26">
                  <c:v>1.2448683290544973</c:v>
                </c:pt>
                <c:pt idx="27">
                  <c:v>1.244756030663537</c:v>
                </c:pt>
                <c:pt idx="28">
                  <c:v>1.2446445526672987</c:v>
                </c:pt>
                <c:pt idx="29">
                  <c:v>1.244533887822906</c:v>
                </c:pt>
                <c:pt idx="30">
                  <c:v>1.2444240289516844</c:v>
                </c:pt>
                <c:pt idx="31">
                  <c:v>1.2442067007316493</c:v>
                </c:pt>
                <c:pt idx="32">
                  <c:v>1.2439925118403092</c:v>
                </c:pt>
                <c:pt idx="33">
                  <c:v>1.2437814071020881</c:v>
                </c:pt>
                <c:pt idx="34">
                  <c:v>1.2435733323152183</c:v>
                </c:pt>
                <c:pt idx="35">
                  <c:v>1.2433682342345498</c:v>
                </c:pt>
                <c:pt idx="36">
                  <c:v>1.2431660605546624</c:v>
                </c:pt>
                <c:pt idx="37">
                  <c:v>1.2429667598932783</c:v>
                </c:pt>
                <c:pt idx="38">
                  <c:v>1.2427702817749651</c:v>
                </c:pt>
                <c:pt idx="39">
                  <c:v>1.2423855957042802</c:v>
                </c:pt>
                <c:pt idx="40">
                  <c:v>1.2420116160747643</c:v>
                </c:pt>
                <c:pt idx="41">
                  <c:v>1.2416479701325229</c:v>
                </c:pt>
                <c:pt idx="42">
                  <c:v>1.2412942981647066</c:v>
                </c:pt>
                <c:pt idx="43">
                  <c:v>1.2409502530431578</c:v>
                </c:pt>
                <c:pt idx="44">
                  <c:v>1.2406154997840284</c:v>
                </c:pt>
                <c:pt idx="45">
                  <c:v>1.2402897151228096</c:v>
                </c:pt>
                <c:pt idx="46">
                  <c:v>1.2399725871042344</c:v>
                </c:pt>
                <c:pt idx="47">
                  <c:v>1.2393631073595301</c:v>
                </c:pt>
                <c:pt idx="48">
                  <c:v>1.2387847763966613</c:v>
                </c:pt>
                <c:pt idx="49">
                  <c:v>1.2382354670809264</c:v>
                </c:pt>
                <c:pt idx="50">
                  <c:v>1.2377131984994825</c:v>
                </c:pt>
                <c:pt idx="51">
                  <c:v>1.2372161259071102</c:v>
                </c:pt>
                <c:pt idx="52">
                  <c:v>1.2367425313633733</c:v>
                </c:pt>
                <c:pt idx="53">
                  <c:v>1.2362908150136303</c:v>
                </c:pt>
                <c:pt idx="54">
                  <c:v>1.23585948696961</c:v>
                </c:pt>
                <c:pt idx="55">
                  <c:v>1.2350525412309301</c:v>
                </c:pt>
                <c:pt idx="56">
                  <c:v>1.2343116997621413</c:v>
                </c:pt>
                <c:pt idx="57">
                  <c:v>1.2336282947564978</c:v>
                </c:pt>
                <c:pt idx="58">
                  <c:v>1.232994808836636</c:v>
                </c:pt>
                <c:pt idx="59">
                  <c:v>1.2324047222975789</c:v>
                </c:pt>
                <c:pt idx="60">
                  <c:v>1.2318523806351538</c:v>
                </c:pt>
                <c:pt idx="61">
                  <c:v>1.2313328796657894</c:v>
                </c:pt>
                <c:pt idx="62">
                  <c:v>1.2308419659014718</c:v>
                </c:pt>
                <c:pt idx="63">
                  <c:v>1.2299316326112029</c:v>
                </c:pt>
                <c:pt idx="64">
                  <c:v>1.2290973585538925</c:v>
                </c:pt>
                <c:pt idx="65">
                  <c:v>1.2283210704030083</c:v>
                </c:pt>
                <c:pt idx="66">
                  <c:v>1.2275891689709248</c:v>
                </c:pt>
                <c:pt idx="67">
                  <c:v>1.2268914200974976</c:v>
                </c:pt>
                <c:pt idx="68">
                  <c:v>1.2262201205141514</c:v>
                </c:pt>
                <c:pt idx="69">
                  <c:v>1.2255694705054727</c:v>
                </c:pt>
                <c:pt idx="70">
                  <c:v>1.2249351020957047</c:v>
                </c:pt>
                <c:pt idx="71">
                  <c:v>1.2237028557471739</c:v>
                </c:pt>
                <c:pt idx="72">
                  <c:v>1.2225056183422478</c:v>
                </c:pt>
                <c:pt idx="73">
                  <c:v>1.2213332623298345</c:v>
                </c:pt>
                <c:pt idx="74">
                  <c:v>1.2201799812645473</c:v>
                </c:pt>
                <c:pt idx="75">
                  <c:v>1.2190424148068342</c:v>
                </c:pt>
                <c:pt idx="76">
                  <c:v>1.217918587986444</c:v>
                </c:pt>
                <c:pt idx="77">
                  <c:v>1.2168073110833293</c:v>
                </c:pt>
                <c:pt idx="78">
                  <c:v>1.215707840081393</c:v>
                </c:pt>
                <c:pt idx="79">
                  <c:v>1.2135424988251575</c:v>
                </c:pt>
                <c:pt idx="80">
                  <c:v>1.2114200359815768</c:v>
                </c:pt>
                <c:pt idx="81">
                  <c:v>1.2093388238340916</c:v>
                </c:pt>
                <c:pt idx="82">
                  <c:v>1.2072975541913977</c:v>
                </c:pt>
                <c:pt idx="83">
                  <c:v>1.2052950508989235</c:v>
                </c:pt>
                <c:pt idx="84">
                  <c:v>1.2033302084149353</c:v>
                </c:pt>
                <c:pt idx="85">
                  <c:v>1.2014019708280765</c:v>
                </c:pt>
                <c:pt idx="86">
                  <c:v>1.1995093238973276</c:v>
                </c:pt>
                <c:pt idx="87">
                  <c:v>1.1958269324811273</c:v>
                </c:pt>
                <c:pt idx="88">
                  <c:v>1.1922756410948829</c:v>
                </c:pt>
                <c:pt idx="89">
                  <c:v>1.1888485744313613</c:v>
                </c:pt>
                <c:pt idx="90">
                  <c:v>1.1855393297452919</c:v>
                </c:pt>
                <c:pt idx="91">
                  <c:v>1.1823419368707686</c:v>
                </c:pt>
                <c:pt idx="92">
                  <c:v>1.1792508222889355</c:v>
                </c:pt>
                <c:pt idx="93">
                  <c:v>1.1762607767248343</c:v>
                </c:pt>
                <c:pt idx="94">
                  <c:v>1.1733669258703301</c:v>
                </c:pt>
                <c:pt idx="95">
                  <c:v>1.1678498293809572</c:v>
                </c:pt>
                <c:pt idx="96">
                  <c:v>1.1626662905852407</c:v>
                </c:pt>
                <c:pt idx="97">
                  <c:v>1.1577869662617155</c:v>
                </c:pt>
                <c:pt idx="98">
                  <c:v>1.1531858568393774</c:v>
                </c:pt>
                <c:pt idx="99">
                  <c:v>1.1488398433299205</c:v>
                </c:pt>
                <c:pt idx="100">
                  <c:v>1.1447282991430741</c:v>
                </c:pt>
                <c:pt idx="101">
                  <c:v>1.1408327630281589</c:v>
                </c:pt>
                <c:pt idx="102">
                  <c:v>1.1371366621994656</c:v>
                </c:pt>
                <c:pt idx="103">
                  <c:v>1.1302845392501928</c:v>
                </c:pt>
                <c:pt idx="104">
                  <c:v>1.1240689847819889</c:v>
                </c:pt>
                <c:pt idx="105">
                  <c:v>1.118405312851565</c:v>
                </c:pt>
                <c:pt idx="106">
                  <c:v>1.1132232205864918</c:v>
                </c:pt>
                <c:pt idx="107">
                  <c:v>1.1084638590365288</c:v>
                </c:pt>
                <c:pt idx="108">
                  <c:v>1.1040775918438603</c:v>
                </c:pt>
                <c:pt idx="109">
                  <c:v>1.1000222603975005</c:v>
                </c:pt>
                <c:pt idx="110">
                  <c:v>1.0962618267902025</c:v>
                </c:pt>
                <c:pt idx="111">
                  <c:v>1.0895058914100124</c:v>
                </c:pt>
                <c:pt idx="112">
                  <c:v>1.0836082199865169</c:v>
                </c:pt>
                <c:pt idx="113">
                  <c:v>1.078415308242725</c:v>
                </c:pt>
                <c:pt idx="114">
                  <c:v>1.0738081945586997</c:v>
                </c:pt>
                <c:pt idx="115">
                  <c:v>1.0696932612520254</c:v>
                </c:pt>
                <c:pt idx="116">
                  <c:v>1.0659958267584622</c:v>
                </c:pt>
                <c:pt idx="117">
                  <c:v>1.0626555883740885</c:v>
                </c:pt>
                <c:pt idx="118">
                  <c:v>1.0596233206819337</c:v>
                </c:pt>
                <c:pt idx="119">
                  <c:v>1.0543272049350223</c:v>
                </c:pt>
                <c:pt idx="120">
                  <c:v>1.0498568218147055</c:v>
                </c:pt>
                <c:pt idx="121">
                  <c:v>1.0460337113574019</c:v>
                </c:pt>
                <c:pt idx="122">
                  <c:v>1.0427273640969981</c:v>
                </c:pt>
                <c:pt idx="123">
                  <c:v>1.0398401306967382</c:v>
                </c:pt>
                <c:pt idx="124">
                  <c:v>1.0372974929506142</c:v>
                </c:pt>
                <c:pt idx="125">
                  <c:v>1.03504159811153</c:v>
                </c:pt>
                <c:pt idx="126">
                  <c:v>1.0330268471325421</c:v>
                </c:pt>
                <c:pt idx="127">
                  <c:v>1.0295820494108379</c:v>
                </c:pt>
                <c:pt idx="128">
                  <c:v>1.0267462707143209</c:v>
                </c:pt>
                <c:pt idx="129">
                  <c:v>1.0243723991897529</c:v>
                </c:pt>
                <c:pt idx="130">
                  <c:v>1.0223571099357032</c:v>
                </c:pt>
                <c:pt idx="131">
                  <c:v>1.0206257062631368</c:v>
                </c:pt>
                <c:pt idx="132">
                  <c:v>1.0191228502554501</c:v>
                </c:pt>
                <c:pt idx="133">
                  <c:v>1.0178066756107689</c:v>
                </c:pt>
                <c:pt idx="134">
                  <c:v>1.0166449254978236</c:v>
                </c:pt>
                <c:pt idx="135">
                  <c:v>1.0146888888835794</c:v>
                </c:pt>
                <c:pt idx="136">
                  <c:v>1.0131078619551355</c:v>
                </c:pt>
                <c:pt idx="137">
                  <c:v>1.0118051694353736</c:v>
                </c:pt>
                <c:pt idx="138">
                  <c:v>1.0107145983337547</c:v>
                </c:pt>
                <c:pt idx="139">
                  <c:v>1.0097892903033159</c:v>
                </c:pt>
                <c:pt idx="140">
                  <c:v>1.0089951620706814</c:v>
                </c:pt>
                <c:pt idx="141">
                  <c:v>1.0083068376935034</c:v>
                </c:pt>
                <c:pt idx="142">
                  <c:v>1.0077050410300608</c:v>
                </c:pt>
                <c:pt idx="143">
                  <c:v>1.0067046331144107</c:v>
                </c:pt>
                <c:pt idx="144">
                  <c:v>1.0059085356537403</c:v>
                </c:pt>
                <c:pt idx="145">
                  <c:v>1.0052616352449888</c:v>
                </c:pt>
                <c:pt idx="146">
                  <c:v>1.0047268160590488</c:v>
                </c:pt>
                <c:pt idx="147">
                  <c:v>1.0042781964013394</c:v>
                </c:pt>
                <c:pt idx="148">
                  <c:v>1.0038971968345771</c:v>
                </c:pt>
                <c:pt idx="149">
                  <c:v>1.0035701481615249</c:v>
                </c:pt>
                <c:pt idx="150">
                  <c:v>1.0032867795218521</c:v>
                </c:pt>
                <c:pt idx="151">
                  <c:v>1.0028213910162602</c:v>
                </c:pt>
                <c:pt idx="152">
                  <c:v>1.0024565243865757</c:v>
                </c:pt>
                <c:pt idx="153">
                  <c:v>1.002163940816384</c:v>
                </c:pt>
                <c:pt idx="154">
                  <c:v>1.0019249094850378</c:v>
                </c:pt>
                <c:pt idx="155">
                  <c:v>1.0017265475526869</c:v>
                </c:pt>
                <c:pt idx="156">
                  <c:v>1.0015597228115289</c:v>
                </c:pt>
                <c:pt idx="157">
                  <c:v>1.0014177942342701</c:v>
                </c:pt>
                <c:pt idx="158">
                  <c:v>1.0012958253763971</c:v>
                </c:pt>
                <c:pt idx="159">
                  <c:v>1.0010976662616609</c:v>
                </c:pt>
                <c:pt idx="160">
                  <c:v>1.0009443217101304</c:v>
                </c:pt>
                <c:pt idx="161">
                  <c:v>1.0008227389755231</c:v>
                </c:pt>
                <c:pt idx="162">
                  <c:v>1.0007243891211075</c:v>
                </c:pt>
                <c:pt idx="163">
                  <c:v>1.0006434841488674</c:v>
                </c:pt>
                <c:pt idx="164">
                  <c:v>1.0005759703006549</c:v>
                </c:pt>
                <c:pt idx="165">
                  <c:v>1.0005189316062446</c:v>
                </c:pt>
                <c:pt idx="166">
                  <c:v>1.0004702219207411</c:v>
                </c:pt>
                <c:pt idx="167">
                  <c:v>1.0003917247385392</c:v>
                </c:pt>
                <c:pt idx="168">
                  <c:v>1.0003315581304544</c:v>
                </c:pt>
                <c:pt idx="169">
                  <c:v>1.0002842372273242</c:v>
                </c:pt>
                <c:pt idx="170">
                  <c:v>1.0002462222449047</c:v>
                </c:pt>
                <c:pt idx="171">
                  <c:v>1.0002151366097209</c:v>
                </c:pt>
                <c:pt idx="172">
                  <c:v>1.0001893313712611</c:v>
                </c:pt>
                <c:pt idx="173">
                  <c:v>1.0001676301667315</c:v>
                </c:pt>
                <c:pt idx="174">
                  <c:v>1.0001491735349541</c:v>
                </c:pt>
                <c:pt idx="175">
                  <c:v>1.0001195840150201</c:v>
                </c:pt>
                <c:pt idx="176">
                  <c:v>1.0000970399962037</c:v>
                </c:pt>
                <c:pt idx="177">
                  <c:v>1.0000793971367907</c:v>
                </c:pt>
                <c:pt idx="178">
                  <c:v>1.0000652830620569</c:v>
                </c:pt>
                <c:pt idx="179">
                  <c:v>1.0000537828635494</c:v>
                </c:pt>
                <c:pt idx="180">
                  <c:v>1.0000442655772097</c:v>
                </c:pt>
                <c:pt idx="181">
                  <c:v>1.000036283427771</c:v>
                </c:pt>
                <c:pt idx="182">
                  <c:v>1.0000295107647028</c:v>
                </c:pt>
                <c:pt idx="183">
                  <c:v>1.0000186851075716</c:v>
                </c:pt>
                <c:pt idx="184">
                  <c:v>1.000010465150871</c:v>
                </c:pt>
                <c:pt idx="185">
                  <c:v>1.0000040501436651</c:v>
                </c:pt>
                <c:pt idx="186">
                  <c:v>0.99999893012353513</c:v>
                </c:pt>
                <c:pt idx="187">
                  <c:v>0.99999476651013264</c:v>
                </c:pt>
                <c:pt idx="188">
                  <c:v>0.99999132661173096</c:v>
                </c:pt>
                <c:pt idx="189">
                  <c:v>0.99998844578533808</c:v>
                </c:pt>
                <c:pt idx="190">
                  <c:v>0.99998600460098097</c:v>
                </c:pt>
                <c:pt idx="191">
                  <c:v>0.99998210875279647</c:v>
                </c:pt>
                <c:pt idx="192">
                  <c:v>0.99997915599470355</c:v>
                </c:pt>
                <c:pt idx="193">
                  <c:v>0.99997685501181377</c:v>
                </c:pt>
                <c:pt idx="194">
                  <c:v>0.99997502077531875</c:v>
                </c:pt>
                <c:pt idx="195">
                  <c:v>0.99997353071059336</c:v>
                </c:pt>
                <c:pt idx="196">
                  <c:v>0.99997230073420107</c:v>
                </c:pt>
                <c:pt idx="197">
                  <c:v>0.99997127144669318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115-4D3C-9167-7D798AF00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47008"/>
        <c:axId val="155948544"/>
      </c:scatterChart>
      <c:valAx>
        <c:axId val="155947008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5948544"/>
        <c:crosses val="autoZero"/>
        <c:crossBetween val="midCat"/>
      </c:valAx>
      <c:valAx>
        <c:axId val="155948544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5947008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767786000998806"/>
          <c:y val="7.1583514099783085E-2"/>
          <c:w val="0.116883286584885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7616645073310961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'1_Rh110 in buffer'!$F$1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'1_Rh110 in buffer'!$A$3:$A$235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'1_Rh110 in buffer'!$F$3:$F$200</c:f>
              <c:numCache>
                <c:formatCode>General</c:formatCode>
                <c:ptCount val="198"/>
                <c:pt idx="0">
                  <c:v>-4.0741146432330844E-2</c:v>
                </c:pt>
                <c:pt idx="1">
                  <c:v>9.395079211056423E-4</c:v>
                </c:pt>
                <c:pt idx="2">
                  <c:v>-6.7298948849376927E-3</c:v>
                </c:pt>
                <c:pt idx="3">
                  <c:v>2.1370645276172384E-2</c:v>
                </c:pt>
                <c:pt idx="4">
                  <c:v>-5.9887146921355772E-4</c:v>
                </c:pt>
                <c:pt idx="5">
                  <c:v>-4.2784449950254988E-3</c:v>
                </c:pt>
                <c:pt idx="6">
                  <c:v>-3.978075175473661E-3</c:v>
                </c:pt>
                <c:pt idx="7">
                  <c:v>6.282238114952321E-3</c:v>
                </c:pt>
                <c:pt idx="8">
                  <c:v>-2.2207504998516647E-2</c:v>
                </c:pt>
                <c:pt idx="9">
                  <c:v>3.5426956090718331E-3</c:v>
                </c:pt>
                <c:pt idx="10">
                  <c:v>-8.9271599376075095E-3</c:v>
                </c:pt>
                <c:pt idx="11">
                  <c:v>-1.3607071514157187E-2</c:v>
                </c:pt>
                <c:pt idx="12">
                  <c:v>2.2552961003543981E-2</c:v>
                </c:pt>
                <c:pt idx="13">
                  <c:v>3.1129377393406266E-3</c:v>
                </c:pt>
                <c:pt idx="14">
                  <c:v>-4.3714118319715389E-4</c:v>
                </c:pt>
                <c:pt idx="15">
                  <c:v>1.3482534489627662E-2</c:v>
                </c:pt>
                <c:pt idx="16">
                  <c:v>6.0219890050914326E-3</c:v>
                </c:pt>
                <c:pt idx="17">
                  <c:v>1.5112233419003474E-3</c:v>
                </c:pt>
                <c:pt idx="18">
                  <c:v>3.0023847441240648E-4</c:v>
                </c:pt>
                <c:pt idx="19">
                  <c:v>-4.8409646273412932E-3</c:v>
                </c:pt>
                <c:pt idx="20">
                  <c:v>-5.1523849976393699E-3</c:v>
                </c:pt>
                <c:pt idx="21">
                  <c:v>-4.094021675049353E-3</c:v>
                </c:pt>
                <c:pt idx="22">
                  <c:v>-2.9258737024102643E-3</c:v>
                </c:pt>
                <c:pt idx="23">
                  <c:v>5.2197800004230022E-3</c:v>
                </c:pt>
                <c:pt idx="24">
                  <c:v>1.1045836834582268E-3</c:v>
                </c:pt>
                <c:pt idx="25">
                  <c:v>8.9585448521698474E-3</c:v>
                </c:pt>
                <c:pt idx="26">
                  <c:v>-7.8983290544973883E-3</c:v>
                </c:pt>
                <c:pt idx="27">
                  <c:v>1.223969336463071E-3</c:v>
                </c:pt>
                <c:pt idx="28">
                  <c:v>9.9544733270140462E-4</c:v>
                </c:pt>
                <c:pt idx="29">
                  <c:v>-6.0938878229059856E-3</c:v>
                </c:pt>
                <c:pt idx="30">
                  <c:v>4.7597104831553771E-4</c:v>
                </c:pt>
                <c:pt idx="31">
                  <c:v>-2.0567007316492081E-3</c:v>
                </c:pt>
                <c:pt idx="32">
                  <c:v>7.6074881596908117E-3</c:v>
                </c:pt>
                <c:pt idx="33">
                  <c:v>-2.3114071020879923E-3</c:v>
                </c:pt>
                <c:pt idx="34">
                  <c:v>-3.683332315218335E-3</c:v>
                </c:pt>
                <c:pt idx="35">
                  <c:v>-6.8182342345497471E-3</c:v>
                </c:pt>
                <c:pt idx="36">
                  <c:v>5.4393944533770444E-4</c:v>
                </c:pt>
                <c:pt idx="37">
                  <c:v>-4.0667598932784266E-3</c:v>
                </c:pt>
                <c:pt idx="38">
                  <c:v>-3.6028177496505442E-4</c:v>
                </c:pt>
                <c:pt idx="39">
                  <c:v>4.4404295719724374E-5</c:v>
                </c:pt>
                <c:pt idx="40">
                  <c:v>1.6183839252357224E-3</c:v>
                </c:pt>
                <c:pt idx="41">
                  <c:v>-1.6797013252300985E-4</c:v>
                </c:pt>
                <c:pt idx="42">
                  <c:v>-1.1442981647065142E-3</c:v>
                </c:pt>
                <c:pt idx="43">
                  <c:v>-2.8025304315781874E-4</c:v>
                </c:pt>
                <c:pt idx="44">
                  <c:v>2.0145002159714931E-3</c:v>
                </c:pt>
                <c:pt idx="45">
                  <c:v>2.3702848771904872E-3</c:v>
                </c:pt>
                <c:pt idx="46">
                  <c:v>1.4741289576547523E-4</c:v>
                </c:pt>
                <c:pt idx="47">
                  <c:v>1.268926404698334E-4</c:v>
                </c:pt>
                <c:pt idx="48">
                  <c:v>9.5522360333877288E-4</c:v>
                </c:pt>
                <c:pt idx="49">
                  <c:v>-2.8054670809263271E-3</c:v>
                </c:pt>
                <c:pt idx="50">
                  <c:v>2.9680150051758503E-4</c:v>
                </c:pt>
                <c:pt idx="51">
                  <c:v>-1.0061259071101336E-3</c:v>
                </c:pt>
                <c:pt idx="52">
                  <c:v>1.2174686366266396E-3</c:v>
                </c:pt>
                <c:pt idx="53">
                  <c:v>-5.8081501363016486E-4</c:v>
                </c:pt>
                <c:pt idx="54">
                  <c:v>6.0051303038988202E-4</c:v>
                </c:pt>
                <c:pt idx="55">
                  <c:v>2.4974587690698158E-3</c:v>
                </c:pt>
                <c:pt idx="56">
                  <c:v>-9.7169976214117604E-4</c:v>
                </c:pt>
                <c:pt idx="57">
                  <c:v>8.8170524350217327E-4</c:v>
                </c:pt>
                <c:pt idx="58">
                  <c:v>-5.4480883663599045E-4</c:v>
                </c:pt>
                <c:pt idx="59">
                  <c:v>6.1527770242109092E-4</c:v>
                </c:pt>
                <c:pt idx="60">
                  <c:v>8.0761936484630148E-4</c:v>
                </c:pt>
                <c:pt idx="61">
                  <c:v>-6.3287966578950972E-4</c:v>
                </c:pt>
                <c:pt idx="62">
                  <c:v>3.4803409852823819E-4</c:v>
                </c:pt>
                <c:pt idx="63">
                  <c:v>3.8367388797144741E-5</c:v>
                </c:pt>
                <c:pt idx="64">
                  <c:v>-2.5735855389252826E-4</c:v>
                </c:pt>
                <c:pt idx="65">
                  <c:v>5.7892959699179514E-4</c:v>
                </c:pt>
                <c:pt idx="66">
                  <c:v>2.2508310290751954E-3</c:v>
                </c:pt>
                <c:pt idx="67">
                  <c:v>1.408579902502316E-3</c:v>
                </c:pt>
                <c:pt idx="68">
                  <c:v>-8.0120514151404976E-5</c:v>
                </c:pt>
                <c:pt idx="69">
                  <c:v>-2.294705054726176E-4</c:v>
                </c:pt>
                <c:pt idx="70">
                  <c:v>4.8489790429528945E-4</c:v>
                </c:pt>
                <c:pt idx="71">
                  <c:v>-3.6285574717376257E-4</c:v>
                </c:pt>
                <c:pt idx="72">
                  <c:v>3.438165775215829E-5</c:v>
                </c:pt>
                <c:pt idx="73">
                  <c:v>-4.3326232983442736E-4</c:v>
                </c:pt>
                <c:pt idx="74">
                  <c:v>2.4001873545276275E-4</c:v>
                </c:pt>
                <c:pt idx="75">
                  <c:v>6.6758519316589826E-4</c:v>
                </c:pt>
                <c:pt idx="76">
                  <c:v>7.1412013555871567E-5</c:v>
                </c:pt>
                <c:pt idx="77">
                  <c:v>-1.1973110833292111E-3</c:v>
                </c:pt>
                <c:pt idx="78">
                  <c:v>-2.1784008139302813E-4</c:v>
                </c:pt>
                <c:pt idx="79">
                  <c:v>-3.8249882515750677E-4</c:v>
                </c:pt>
                <c:pt idx="80">
                  <c:v>-7.0003598157675206E-4</c:v>
                </c:pt>
                <c:pt idx="81">
                  <c:v>5.8117616590847021E-4</c:v>
                </c:pt>
                <c:pt idx="82">
                  <c:v>-3.9755419139764214E-4</c:v>
                </c:pt>
                <c:pt idx="83">
                  <c:v>-8.8505089892354505E-4</c:v>
                </c:pt>
                <c:pt idx="84">
                  <c:v>-1.2802084149352577E-3</c:v>
                </c:pt>
                <c:pt idx="85">
                  <c:v>-6.61970828076619E-4</c:v>
                </c:pt>
                <c:pt idx="86">
                  <c:v>-1.9323897327616635E-5</c:v>
                </c:pt>
                <c:pt idx="87">
                  <c:v>-4.5693248112721463E-4</c:v>
                </c:pt>
                <c:pt idx="88">
                  <c:v>-2.6564109488291798E-4</c:v>
                </c:pt>
                <c:pt idx="89">
                  <c:v>-4.0857443136133043E-4</c:v>
                </c:pt>
                <c:pt idx="90">
                  <c:v>-2.1932974529192961E-4</c:v>
                </c:pt>
                <c:pt idx="91">
                  <c:v>1.1806312923146045E-4</c:v>
                </c:pt>
                <c:pt idx="92">
                  <c:v>-8.0822288935467057E-5</c:v>
                </c:pt>
                <c:pt idx="93">
                  <c:v>-1.6077672483438832E-4</c:v>
                </c:pt>
                <c:pt idx="94">
                  <c:v>-1.2692587033003022E-4</c:v>
                </c:pt>
                <c:pt idx="95">
                  <c:v>-4.098293809571274E-4</c:v>
                </c:pt>
                <c:pt idx="96">
                  <c:v>-4.7629058524067958E-4</c:v>
                </c:pt>
                <c:pt idx="97">
                  <c:v>1.2303373828448372E-4</c:v>
                </c:pt>
                <c:pt idx="98">
                  <c:v>2.4414316062260077E-4</c:v>
                </c:pt>
                <c:pt idx="99">
                  <c:v>-8.9843329920569204E-5</c:v>
                </c:pt>
                <c:pt idx="100">
                  <c:v>2.0170085692594597E-4</c:v>
                </c:pt>
                <c:pt idx="101">
                  <c:v>4.7236971840947106E-5</c:v>
                </c:pt>
                <c:pt idx="102">
                  <c:v>3.2333780053428463E-4</c:v>
                </c:pt>
                <c:pt idx="103">
                  <c:v>4.3546074980715943E-4</c:v>
                </c:pt>
                <c:pt idx="104">
                  <c:v>1.4101521801102024E-4</c:v>
                </c:pt>
                <c:pt idx="105">
                  <c:v>2.2468714843504323E-4</c:v>
                </c:pt>
                <c:pt idx="106">
                  <c:v>8.6779413508208947E-5</c:v>
                </c:pt>
                <c:pt idx="107">
                  <c:v>8.6140963471148524E-5</c:v>
                </c:pt>
                <c:pt idx="108">
                  <c:v>1.4240815613963953E-4</c:v>
                </c:pt>
                <c:pt idx="109">
                  <c:v>3.5773960249940728E-4</c:v>
                </c:pt>
                <c:pt idx="110">
                  <c:v>4.0817320979757987E-4</c:v>
                </c:pt>
                <c:pt idx="111">
                  <c:v>5.741085899875209E-4</c:v>
                </c:pt>
                <c:pt idx="112">
                  <c:v>2.8178001348311277E-4</c:v>
                </c:pt>
                <c:pt idx="113">
                  <c:v>1.8469175727497955E-4</c:v>
                </c:pt>
                <c:pt idx="114">
                  <c:v>-2.6819455869975251E-4</c:v>
                </c:pt>
                <c:pt idx="115">
                  <c:v>3.6738747974718322E-5</c:v>
                </c:pt>
                <c:pt idx="116">
                  <c:v>7.4173241537911494E-5</c:v>
                </c:pt>
                <c:pt idx="117">
                  <c:v>-1.7558837408837569E-4</c:v>
                </c:pt>
                <c:pt idx="118">
                  <c:v>-9.3320681933573013E-5</c:v>
                </c:pt>
                <c:pt idx="119">
                  <c:v>-2.5720493502223718E-4</c:v>
                </c:pt>
                <c:pt idx="120">
                  <c:v>-2.1682181470561446E-4</c:v>
                </c:pt>
                <c:pt idx="121">
                  <c:v>-4.3711357401887696E-5</c:v>
                </c:pt>
                <c:pt idx="122">
                  <c:v>-2.0736409699817493E-4</c:v>
                </c:pt>
                <c:pt idx="123">
                  <c:v>-9.0130696738244254E-5</c:v>
                </c:pt>
                <c:pt idx="124">
                  <c:v>-1.7492950614261815E-5</c:v>
                </c:pt>
                <c:pt idx="125">
                  <c:v>8.8401888470146517E-5</c:v>
                </c:pt>
                <c:pt idx="126">
                  <c:v>1.1315286745783304E-4</c:v>
                </c:pt>
                <c:pt idx="127">
                  <c:v>-1.2049410837766672E-5</c:v>
                </c:pt>
                <c:pt idx="128">
                  <c:v>-3.6270714320885133E-5</c:v>
                </c:pt>
                <c:pt idx="129">
                  <c:v>2.0760081024717714E-4</c:v>
                </c:pt>
                <c:pt idx="130">
                  <c:v>4.6289006429689472E-4</c:v>
                </c:pt>
                <c:pt idx="131">
                  <c:v>3.9429373686328262E-4</c:v>
                </c:pt>
                <c:pt idx="132">
                  <c:v>2.9714974454986276E-4</c:v>
                </c:pt>
                <c:pt idx="133">
                  <c:v>1.8332438923107652E-4</c:v>
                </c:pt>
                <c:pt idx="134">
                  <c:v>2.1507450217650437E-4</c:v>
                </c:pt>
                <c:pt idx="135">
                  <c:v>5.1111116420532454E-5</c:v>
                </c:pt>
                <c:pt idx="136">
                  <c:v>5.2138044864591393E-5</c:v>
                </c:pt>
                <c:pt idx="137">
                  <c:v>3.3483056462646488E-4</c:v>
                </c:pt>
                <c:pt idx="138">
                  <c:v>1.6540166624534614E-4</c:v>
                </c:pt>
                <c:pt idx="139">
                  <c:v>-1.0929030331596756E-4</c:v>
                </c:pt>
                <c:pt idx="140">
                  <c:v>-3.5162070681327151E-5</c:v>
                </c:pt>
                <c:pt idx="141">
                  <c:v>-1.4683769350343212E-4</c:v>
                </c:pt>
                <c:pt idx="142">
                  <c:v>-2.7504103006070757E-4</c:v>
                </c:pt>
                <c:pt idx="143">
                  <c:v>-4.0463311441074623E-4</c:v>
                </c:pt>
                <c:pt idx="144">
                  <c:v>-5.1853565374027077E-4</c:v>
                </c:pt>
                <c:pt idx="145">
                  <c:v>-4.8163524498878729E-4</c:v>
                </c:pt>
                <c:pt idx="146">
                  <c:v>-5.968160590488214E-4</c:v>
                </c:pt>
                <c:pt idx="147">
                  <c:v>-3.5819640133949449E-4</c:v>
                </c:pt>
                <c:pt idx="148">
                  <c:v>-3.5719683457702267E-4</c:v>
                </c:pt>
                <c:pt idx="149">
                  <c:v>-2.5014816152491015E-4</c:v>
                </c:pt>
                <c:pt idx="150">
                  <c:v>-2.1677952185217286E-4</c:v>
                </c:pt>
                <c:pt idx="151">
                  <c:v>-5.139101626028264E-5</c:v>
                </c:pt>
                <c:pt idx="152">
                  <c:v>-5.4652438657565305E-4</c:v>
                </c:pt>
                <c:pt idx="153">
                  <c:v>-6.6394081638398994E-4</c:v>
                </c:pt>
                <c:pt idx="154">
                  <c:v>-3.0490948503780757E-4</c:v>
                </c:pt>
                <c:pt idx="155">
                  <c:v>2.8345244731320385E-4</c:v>
                </c:pt>
                <c:pt idx="156">
                  <c:v>4.0277188471105063E-5</c:v>
                </c:pt>
                <c:pt idx="157">
                  <c:v>-2.5779423427008119E-4</c:v>
                </c:pt>
                <c:pt idx="158">
                  <c:v>-2.3582537639699197E-4</c:v>
                </c:pt>
                <c:pt idx="159">
                  <c:v>3.6233373833916005E-4</c:v>
                </c:pt>
                <c:pt idx="160">
                  <c:v>2.5567828986972074E-4</c:v>
                </c:pt>
                <c:pt idx="161">
                  <c:v>-1.6273897552299132E-4</c:v>
                </c:pt>
                <c:pt idx="162">
                  <c:v>-1.4389121107516445E-5</c:v>
                </c:pt>
                <c:pt idx="163">
                  <c:v>-4.348414886745644E-5</c:v>
                </c:pt>
                <c:pt idx="164">
                  <c:v>3.9402969934498877E-4</c:v>
                </c:pt>
                <c:pt idx="165">
                  <c:v>4.0106839375542158E-4</c:v>
                </c:pt>
                <c:pt idx="166">
                  <c:v>1.9778079259014092E-5</c:v>
                </c:pt>
                <c:pt idx="167">
                  <c:v>-2.5172473853918298E-4</c:v>
                </c:pt>
                <c:pt idx="168">
                  <c:v>-1.115581304542701E-4</c:v>
                </c:pt>
                <c:pt idx="169">
                  <c:v>2.9576277267584494E-4</c:v>
                </c:pt>
                <c:pt idx="170">
                  <c:v>3.3777755095387718E-5</c:v>
                </c:pt>
                <c:pt idx="171">
                  <c:v>4.4863390278981896E-5</c:v>
                </c:pt>
                <c:pt idx="172">
                  <c:v>3.7066862873880169E-4</c:v>
                </c:pt>
                <c:pt idx="173">
                  <c:v>5.2236983326858777E-4</c:v>
                </c:pt>
                <c:pt idx="174">
                  <c:v>2.7082646504594798E-4</c:v>
                </c:pt>
                <c:pt idx="175">
                  <c:v>5.0415984979901296E-5</c:v>
                </c:pt>
                <c:pt idx="176">
                  <c:v>-1.9703999620368506E-4</c:v>
                </c:pt>
                <c:pt idx="177">
                  <c:v>-1.5939713679069545E-4</c:v>
                </c:pt>
                <c:pt idx="178">
                  <c:v>-1.8028306205686295E-4</c:v>
                </c:pt>
                <c:pt idx="179">
                  <c:v>-6.2782863549437629E-5</c:v>
                </c:pt>
                <c:pt idx="180">
                  <c:v>-3.2526557720968796E-4</c:v>
                </c:pt>
                <c:pt idx="181">
                  <c:v>3.5371657222893482E-4</c:v>
                </c:pt>
                <c:pt idx="182">
                  <c:v>2.4048923529718103E-4</c:v>
                </c:pt>
                <c:pt idx="183">
                  <c:v>2.2131489242838143E-4</c:v>
                </c:pt>
                <c:pt idx="184">
                  <c:v>2.3953484912908607E-4</c:v>
                </c:pt>
                <c:pt idx="185">
                  <c:v>2.2594985633483944E-4</c:v>
                </c:pt>
                <c:pt idx="186">
                  <c:v>2.2106987646497434E-4</c:v>
                </c:pt>
                <c:pt idx="187">
                  <c:v>2.5523348986744576E-4</c:v>
                </c:pt>
                <c:pt idx="188">
                  <c:v>6.3867338826895104E-4</c:v>
                </c:pt>
                <c:pt idx="189">
                  <c:v>2.1155421466190205E-4</c:v>
                </c:pt>
                <c:pt idx="190">
                  <c:v>9.3995399019108916E-5</c:v>
                </c:pt>
                <c:pt idx="191">
                  <c:v>2.9789124720358551E-4</c:v>
                </c:pt>
                <c:pt idx="192">
                  <c:v>4.4084400529653678E-4</c:v>
                </c:pt>
                <c:pt idx="193">
                  <c:v>1.3314498818628451E-4</c:v>
                </c:pt>
                <c:pt idx="194">
                  <c:v>2.6497922468127211E-4</c:v>
                </c:pt>
                <c:pt idx="195">
                  <c:v>2.4646928940674773E-4</c:v>
                </c:pt>
                <c:pt idx="196">
                  <c:v>1.0769926579901057E-4</c:v>
                </c:pt>
                <c:pt idx="197">
                  <c:v>1.6872855330685166E-4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9CF-4FED-BAE8-A592E9F4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50944"/>
        <c:axId val="156052480"/>
      </c:scatterChart>
      <c:valAx>
        <c:axId val="156050944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052480"/>
        <c:crosses val="autoZero"/>
        <c:crossBetween val="midCat"/>
      </c:valAx>
      <c:valAx>
        <c:axId val="15605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050944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1702800025533288"/>
          <c:y val="0.12280763150220257"/>
          <c:w val="0.11688328658488506"/>
          <c:h val="9.9415818636705497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677839851024209E-2"/>
          <c:y val="4.9891540130151846E-2"/>
          <c:w val="0.87243947858473003"/>
          <c:h val="0.8676789587852494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'2_Rh110 in buffer'!$B$1</c:f>
              <c:strCache>
                <c:ptCount val="1"/>
                <c:pt idx="0">
                  <c:v>Rh110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'2_Rh110 in buffer'!$A$2:$A$252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'2_Rh110 in buffer'!$B$2:$B$252</c:f>
              <c:numCache>
                <c:formatCode>General</c:formatCode>
                <c:ptCount val="251"/>
                <c:pt idx="0">
                  <c:v>1.16395</c:v>
                </c:pt>
                <c:pt idx="1">
                  <c:v>1.22733</c:v>
                </c:pt>
                <c:pt idx="2">
                  <c:v>1.2262299999999999</c:v>
                </c:pt>
                <c:pt idx="3">
                  <c:v>1.25041</c:v>
                </c:pt>
                <c:pt idx="4">
                  <c:v>1.24922</c:v>
                </c:pt>
                <c:pt idx="5">
                  <c:v>1.2573799999999999</c:v>
                </c:pt>
                <c:pt idx="6">
                  <c:v>1.2400599999999999</c:v>
                </c:pt>
                <c:pt idx="7">
                  <c:v>1.25848</c:v>
                </c:pt>
                <c:pt idx="8">
                  <c:v>1.2491300000000001</c:v>
                </c:pt>
                <c:pt idx="9">
                  <c:v>1.23942</c:v>
                </c:pt>
                <c:pt idx="10">
                  <c:v>1.24501</c:v>
                </c:pt>
                <c:pt idx="11">
                  <c:v>1.2414400000000001</c:v>
                </c:pt>
                <c:pt idx="12">
                  <c:v>1.24648</c:v>
                </c:pt>
                <c:pt idx="13">
                  <c:v>1.2315499999999999</c:v>
                </c:pt>
                <c:pt idx="14">
                  <c:v>1.26315</c:v>
                </c:pt>
                <c:pt idx="15">
                  <c:v>1.24918</c:v>
                </c:pt>
                <c:pt idx="16">
                  <c:v>1.24648</c:v>
                </c:pt>
                <c:pt idx="17">
                  <c:v>1.2444200000000001</c:v>
                </c:pt>
                <c:pt idx="18">
                  <c:v>1.23668</c:v>
                </c:pt>
                <c:pt idx="19">
                  <c:v>1.24854</c:v>
                </c:pt>
                <c:pt idx="20">
                  <c:v>1.24474</c:v>
                </c:pt>
                <c:pt idx="21">
                  <c:v>1.24803</c:v>
                </c:pt>
                <c:pt idx="22">
                  <c:v>1.2326900000000001</c:v>
                </c:pt>
                <c:pt idx="23">
                  <c:v>1.2376100000000001</c:v>
                </c:pt>
                <c:pt idx="24">
                  <c:v>1.2498400000000001</c:v>
                </c:pt>
                <c:pt idx="25">
                  <c:v>1.2407699999999999</c:v>
                </c:pt>
                <c:pt idx="26">
                  <c:v>1.2326699999999999</c:v>
                </c:pt>
                <c:pt idx="27">
                  <c:v>1.2421500000000001</c:v>
                </c:pt>
                <c:pt idx="28">
                  <c:v>1.2432700000000001</c:v>
                </c:pt>
                <c:pt idx="29">
                  <c:v>1.24</c:v>
                </c:pt>
                <c:pt idx="30">
                  <c:v>1.2465200000000001</c:v>
                </c:pt>
                <c:pt idx="31">
                  <c:v>1.24241</c:v>
                </c:pt>
                <c:pt idx="32">
                  <c:v>1.24376</c:v>
                </c:pt>
                <c:pt idx="33">
                  <c:v>1.2397800000000001</c:v>
                </c:pt>
                <c:pt idx="34">
                  <c:v>1.24278</c:v>
                </c:pt>
                <c:pt idx="35">
                  <c:v>1.2450600000000001</c:v>
                </c:pt>
                <c:pt idx="36">
                  <c:v>1.24458</c:v>
                </c:pt>
                <c:pt idx="37">
                  <c:v>1.2368600000000001</c:v>
                </c:pt>
                <c:pt idx="38">
                  <c:v>1.2447999999999999</c:v>
                </c:pt>
                <c:pt idx="39">
                  <c:v>1.2428300000000001</c:v>
                </c:pt>
                <c:pt idx="40">
                  <c:v>1.2416799999999999</c:v>
                </c:pt>
                <c:pt idx="41">
                  <c:v>1.2428999999999999</c:v>
                </c:pt>
                <c:pt idx="42">
                  <c:v>1.24291</c:v>
                </c:pt>
                <c:pt idx="43">
                  <c:v>1.24132</c:v>
                </c:pt>
                <c:pt idx="44">
                  <c:v>1.24004</c:v>
                </c:pt>
                <c:pt idx="45">
                  <c:v>1.23804</c:v>
                </c:pt>
                <c:pt idx="46">
                  <c:v>1.2366999999999999</c:v>
                </c:pt>
                <c:pt idx="47">
                  <c:v>1.2384299999999999</c:v>
                </c:pt>
                <c:pt idx="48">
                  <c:v>1.2360199999999999</c:v>
                </c:pt>
                <c:pt idx="49">
                  <c:v>1.23603</c:v>
                </c:pt>
                <c:pt idx="50">
                  <c:v>1.2360500000000001</c:v>
                </c:pt>
                <c:pt idx="51">
                  <c:v>1.23759</c:v>
                </c:pt>
                <c:pt idx="52">
                  <c:v>1.2317499999999999</c:v>
                </c:pt>
                <c:pt idx="53">
                  <c:v>1.2386600000000001</c:v>
                </c:pt>
                <c:pt idx="54">
                  <c:v>1.2352099999999999</c:v>
                </c:pt>
                <c:pt idx="55">
                  <c:v>1.2341599999999999</c:v>
                </c:pt>
                <c:pt idx="56">
                  <c:v>1.23529</c:v>
                </c:pt>
                <c:pt idx="57">
                  <c:v>1.23132</c:v>
                </c:pt>
                <c:pt idx="58">
                  <c:v>1.2321800000000001</c:v>
                </c:pt>
                <c:pt idx="59">
                  <c:v>1.2304999999999999</c:v>
                </c:pt>
                <c:pt idx="60">
                  <c:v>1.2307399999999999</c:v>
                </c:pt>
                <c:pt idx="61">
                  <c:v>1.2311700000000001</c:v>
                </c:pt>
                <c:pt idx="62">
                  <c:v>1.2303999999999999</c:v>
                </c:pt>
                <c:pt idx="63">
                  <c:v>1.2302200000000001</c:v>
                </c:pt>
                <c:pt idx="64">
                  <c:v>1.22855</c:v>
                </c:pt>
                <c:pt idx="65">
                  <c:v>1.22767</c:v>
                </c:pt>
                <c:pt idx="66">
                  <c:v>1.22679</c:v>
                </c:pt>
                <c:pt idx="67">
                  <c:v>1.2240200000000001</c:v>
                </c:pt>
                <c:pt idx="68">
                  <c:v>1.22427</c:v>
                </c:pt>
                <c:pt idx="69">
                  <c:v>1.22357</c:v>
                </c:pt>
                <c:pt idx="70">
                  <c:v>1.2240599999999999</c:v>
                </c:pt>
                <c:pt idx="71">
                  <c:v>1.2230799999999999</c:v>
                </c:pt>
                <c:pt idx="72">
                  <c:v>1.2207399999999999</c:v>
                </c:pt>
                <c:pt idx="73">
                  <c:v>1.2205900000000001</c:v>
                </c:pt>
                <c:pt idx="74">
                  <c:v>1.2197199999999999</c:v>
                </c:pt>
                <c:pt idx="75">
                  <c:v>1.21576</c:v>
                </c:pt>
                <c:pt idx="76">
                  <c:v>1.2156899999999999</c:v>
                </c:pt>
                <c:pt idx="77">
                  <c:v>1.2157899999999999</c:v>
                </c:pt>
                <c:pt idx="78">
                  <c:v>1.21462</c:v>
                </c:pt>
                <c:pt idx="79">
                  <c:v>1.21245</c:v>
                </c:pt>
                <c:pt idx="80">
                  <c:v>1.2109000000000001</c:v>
                </c:pt>
                <c:pt idx="81">
                  <c:v>1.2091099999999999</c:v>
                </c:pt>
                <c:pt idx="82">
                  <c:v>1.2073799999999999</c:v>
                </c:pt>
                <c:pt idx="83">
                  <c:v>1.2049700000000001</c:v>
                </c:pt>
                <c:pt idx="84">
                  <c:v>1.20278</c:v>
                </c:pt>
                <c:pt idx="85">
                  <c:v>1.1993799999999999</c:v>
                </c:pt>
                <c:pt idx="86">
                  <c:v>1.19889</c:v>
                </c:pt>
                <c:pt idx="87">
                  <c:v>1.1975800000000001</c:v>
                </c:pt>
                <c:pt idx="88">
                  <c:v>1.1932199999999999</c:v>
                </c:pt>
                <c:pt idx="89">
                  <c:v>1.19001</c:v>
                </c:pt>
                <c:pt idx="90">
                  <c:v>1.18699</c:v>
                </c:pt>
                <c:pt idx="91">
                  <c:v>1.1835500000000001</c:v>
                </c:pt>
                <c:pt idx="92">
                  <c:v>1.1803699999999999</c:v>
                </c:pt>
                <c:pt idx="93">
                  <c:v>1.1773100000000001</c:v>
                </c:pt>
                <c:pt idx="94">
                  <c:v>1.17441</c:v>
                </c:pt>
                <c:pt idx="95">
                  <c:v>1.17195</c:v>
                </c:pt>
                <c:pt idx="96">
                  <c:v>1.1664000000000001</c:v>
                </c:pt>
                <c:pt idx="97">
                  <c:v>1.16144</c:v>
                </c:pt>
                <c:pt idx="98">
                  <c:v>1.1561399999999999</c:v>
                </c:pt>
                <c:pt idx="99">
                  <c:v>1.15181</c:v>
                </c:pt>
                <c:pt idx="100">
                  <c:v>1.14733</c:v>
                </c:pt>
                <c:pt idx="101">
                  <c:v>1.1434599999999999</c:v>
                </c:pt>
                <c:pt idx="102">
                  <c:v>1.1394200000000001</c:v>
                </c:pt>
                <c:pt idx="103">
                  <c:v>1.13609</c:v>
                </c:pt>
                <c:pt idx="104">
                  <c:v>1.1291800000000001</c:v>
                </c:pt>
                <c:pt idx="105">
                  <c:v>1.1229199999999999</c:v>
                </c:pt>
                <c:pt idx="106">
                  <c:v>1.1180099999999999</c:v>
                </c:pt>
                <c:pt idx="107">
                  <c:v>1.1124400000000001</c:v>
                </c:pt>
                <c:pt idx="108">
                  <c:v>1.10765</c:v>
                </c:pt>
                <c:pt idx="109">
                  <c:v>1.10347</c:v>
                </c:pt>
                <c:pt idx="110">
                  <c:v>1.0992299999999999</c:v>
                </c:pt>
                <c:pt idx="111">
                  <c:v>1.0956300000000001</c:v>
                </c:pt>
                <c:pt idx="112">
                  <c:v>1.0891599999999999</c:v>
                </c:pt>
                <c:pt idx="113">
                  <c:v>1.0831500000000001</c:v>
                </c:pt>
                <c:pt idx="114">
                  <c:v>1.07806</c:v>
                </c:pt>
                <c:pt idx="115">
                  <c:v>1.07352</c:v>
                </c:pt>
                <c:pt idx="116">
                  <c:v>1.0695399999999999</c:v>
                </c:pt>
                <c:pt idx="117">
                  <c:v>1.06585</c:v>
                </c:pt>
                <c:pt idx="118">
                  <c:v>1.06254</c:v>
                </c:pt>
                <c:pt idx="119">
                  <c:v>1.0595600000000001</c:v>
                </c:pt>
                <c:pt idx="120">
                  <c:v>1.05436</c:v>
                </c:pt>
                <c:pt idx="121">
                  <c:v>1.0500700000000001</c:v>
                </c:pt>
                <c:pt idx="122">
                  <c:v>1.0463199999999999</c:v>
                </c:pt>
                <c:pt idx="123">
                  <c:v>1.04321</c:v>
                </c:pt>
                <c:pt idx="124">
                  <c:v>1.04044</c:v>
                </c:pt>
                <c:pt idx="125">
                  <c:v>1.0377799999999999</c:v>
                </c:pt>
                <c:pt idx="126">
                  <c:v>1.0357499999999999</c:v>
                </c:pt>
                <c:pt idx="127">
                  <c:v>1.0338400000000001</c:v>
                </c:pt>
                <c:pt idx="128">
                  <c:v>1.03013</c:v>
                </c:pt>
                <c:pt idx="129">
                  <c:v>1.02732</c:v>
                </c:pt>
                <c:pt idx="130">
                  <c:v>1.02498</c:v>
                </c:pt>
                <c:pt idx="131">
                  <c:v>1.02288</c:v>
                </c:pt>
                <c:pt idx="132">
                  <c:v>1.02121</c:v>
                </c:pt>
                <c:pt idx="133">
                  <c:v>1.0198799999999999</c:v>
                </c:pt>
                <c:pt idx="134">
                  <c:v>1.01858</c:v>
                </c:pt>
                <c:pt idx="135">
                  <c:v>1.0174399999999999</c:v>
                </c:pt>
                <c:pt idx="136">
                  <c:v>1.0153700000000001</c:v>
                </c:pt>
                <c:pt idx="137">
                  <c:v>1.01376</c:v>
                </c:pt>
                <c:pt idx="138">
                  <c:v>1.01234</c:v>
                </c:pt>
                <c:pt idx="139">
                  <c:v>1.0109999999999999</c:v>
                </c:pt>
                <c:pt idx="140">
                  <c:v>1.0096000000000001</c:v>
                </c:pt>
                <c:pt idx="141">
                  <c:v>1.0090699999999999</c:v>
                </c:pt>
                <c:pt idx="142">
                  <c:v>1.00857</c:v>
                </c:pt>
                <c:pt idx="143">
                  <c:v>1.0080499999999999</c:v>
                </c:pt>
                <c:pt idx="144">
                  <c:v>1.00705</c:v>
                </c:pt>
                <c:pt idx="145">
                  <c:v>1.0061899999999999</c:v>
                </c:pt>
                <c:pt idx="146">
                  <c:v>1.00563</c:v>
                </c:pt>
                <c:pt idx="147">
                  <c:v>1.0051399999999999</c:v>
                </c:pt>
                <c:pt idx="148">
                  <c:v>1.0042199999999999</c:v>
                </c:pt>
                <c:pt idx="149">
                  <c:v>1.00383</c:v>
                </c:pt>
                <c:pt idx="150">
                  <c:v>1.00356</c:v>
                </c:pt>
                <c:pt idx="151">
                  <c:v>1.00366</c:v>
                </c:pt>
                <c:pt idx="152">
                  <c:v>1.0034000000000001</c:v>
                </c:pt>
                <c:pt idx="153">
                  <c:v>1.0025200000000001</c:v>
                </c:pt>
                <c:pt idx="154">
                  <c:v>1.0023899999999999</c:v>
                </c:pt>
                <c:pt idx="155">
                  <c:v>1.00223</c:v>
                </c:pt>
                <c:pt idx="156">
                  <c:v>1.0019499999999999</c:v>
                </c:pt>
                <c:pt idx="157">
                  <c:v>1.00142</c:v>
                </c:pt>
                <c:pt idx="158">
                  <c:v>1.0016499999999999</c:v>
                </c:pt>
                <c:pt idx="159">
                  <c:v>1.0015400000000001</c:v>
                </c:pt>
                <c:pt idx="160">
                  <c:v>1.00169</c:v>
                </c:pt>
                <c:pt idx="161">
                  <c:v>1.00176</c:v>
                </c:pt>
                <c:pt idx="162">
                  <c:v>1.0013799999999999</c:v>
                </c:pt>
                <c:pt idx="163">
                  <c:v>1.00115</c:v>
                </c:pt>
                <c:pt idx="164">
                  <c:v>1.00092</c:v>
                </c:pt>
                <c:pt idx="165">
                  <c:v>1.0004599999999999</c:v>
                </c:pt>
                <c:pt idx="166">
                  <c:v>1.0006699999999999</c:v>
                </c:pt>
                <c:pt idx="167">
                  <c:v>1.00081</c:v>
                </c:pt>
                <c:pt idx="168">
                  <c:v>1.0010399999999999</c:v>
                </c:pt>
                <c:pt idx="169">
                  <c:v>1.00118</c:v>
                </c:pt>
                <c:pt idx="170">
                  <c:v>1.0003599999999999</c:v>
                </c:pt>
                <c:pt idx="171">
                  <c:v>1.00021</c:v>
                </c:pt>
                <c:pt idx="172">
                  <c:v>1.00064</c:v>
                </c:pt>
                <c:pt idx="173">
                  <c:v>1.00075</c:v>
                </c:pt>
                <c:pt idx="174">
                  <c:v>1.00047</c:v>
                </c:pt>
                <c:pt idx="175">
                  <c:v>1.0001599999999999</c:v>
                </c:pt>
                <c:pt idx="176">
                  <c:v>1.0004299999999999</c:v>
                </c:pt>
                <c:pt idx="177">
                  <c:v>1.00014</c:v>
                </c:pt>
                <c:pt idx="178">
                  <c:v>0.99992599999999998</c:v>
                </c:pt>
                <c:pt idx="179">
                  <c:v>0.99993600000000005</c:v>
                </c:pt>
                <c:pt idx="180">
                  <c:v>1.0004</c:v>
                </c:pt>
                <c:pt idx="181">
                  <c:v>1.00013</c:v>
                </c:pt>
                <c:pt idx="182">
                  <c:v>1.0003200000000001</c:v>
                </c:pt>
                <c:pt idx="183">
                  <c:v>1.0001500000000001</c:v>
                </c:pt>
                <c:pt idx="184">
                  <c:v>1.0002800000000001</c:v>
                </c:pt>
                <c:pt idx="185">
                  <c:v>1.00023</c:v>
                </c:pt>
                <c:pt idx="186">
                  <c:v>1.0003</c:v>
                </c:pt>
                <c:pt idx="187">
                  <c:v>1.0001599999999999</c:v>
                </c:pt>
                <c:pt idx="188">
                  <c:v>1.00068</c:v>
                </c:pt>
                <c:pt idx="189">
                  <c:v>1.0002599999999999</c:v>
                </c:pt>
                <c:pt idx="190">
                  <c:v>1.0005900000000001</c:v>
                </c:pt>
                <c:pt idx="191">
                  <c:v>1.00027</c:v>
                </c:pt>
                <c:pt idx="192">
                  <c:v>1.0004500000000001</c:v>
                </c:pt>
                <c:pt idx="193">
                  <c:v>1.0001199999999999</c:v>
                </c:pt>
                <c:pt idx="194">
                  <c:v>1.0002</c:v>
                </c:pt>
                <c:pt idx="195">
                  <c:v>1.0001500000000001</c:v>
                </c:pt>
                <c:pt idx="196">
                  <c:v>1.0002599999999999</c:v>
                </c:pt>
                <c:pt idx="197">
                  <c:v>1.0000599999999999</c:v>
                </c:pt>
                <c:pt idx="198">
                  <c:v>0.99992499999999995</c:v>
                </c:pt>
                <c:pt idx="199">
                  <c:v>0.99979399999999996</c:v>
                </c:pt>
                <c:pt idx="200">
                  <c:v>0.99999400000000005</c:v>
                </c:pt>
                <c:pt idx="201">
                  <c:v>0.99982199999999999</c:v>
                </c:pt>
                <c:pt idx="202">
                  <c:v>1.0000800000000001</c:v>
                </c:pt>
                <c:pt idx="203">
                  <c:v>0.99997100000000005</c:v>
                </c:pt>
                <c:pt idx="204">
                  <c:v>1.00007</c:v>
                </c:pt>
                <c:pt idx="205">
                  <c:v>1.0000899999999999</c:v>
                </c:pt>
                <c:pt idx="206">
                  <c:v>1.0000899999999999</c:v>
                </c:pt>
                <c:pt idx="207">
                  <c:v>1.0003200000000001</c:v>
                </c:pt>
                <c:pt idx="208">
                  <c:v>1.0003200000000001</c:v>
                </c:pt>
                <c:pt idx="209">
                  <c:v>1.0001800000000001</c:v>
                </c:pt>
                <c:pt idx="210">
                  <c:v>1.0002800000000001</c:v>
                </c:pt>
                <c:pt idx="211">
                  <c:v>1.00024</c:v>
                </c:pt>
                <c:pt idx="212">
                  <c:v>1.0002200000000001</c:v>
                </c:pt>
                <c:pt idx="213">
                  <c:v>1.0002899999999999</c:v>
                </c:pt>
                <c:pt idx="214">
                  <c:v>1.0002500000000001</c:v>
                </c:pt>
                <c:pt idx="215">
                  <c:v>1.0004200000000001</c:v>
                </c:pt>
                <c:pt idx="216">
                  <c:v>1.0001599999999999</c:v>
                </c:pt>
                <c:pt idx="217">
                  <c:v>0.99998500000000001</c:v>
                </c:pt>
                <c:pt idx="218">
                  <c:v>1.0000599999999999</c:v>
                </c:pt>
                <c:pt idx="219">
                  <c:v>1.0001100000000001</c:v>
                </c:pt>
                <c:pt idx="220">
                  <c:v>1.00004</c:v>
                </c:pt>
                <c:pt idx="221">
                  <c:v>0.99983900000000003</c:v>
                </c:pt>
                <c:pt idx="222">
                  <c:v>1.0000899999999999</c:v>
                </c:pt>
                <c:pt idx="223">
                  <c:v>0.99962300000000004</c:v>
                </c:pt>
                <c:pt idx="224">
                  <c:v>0.99915900000000002</c:v>
                </c:pt>
                <c:pt idx="225">
                  <c:v>0.99884799999999996</c:v>
                </c:pt>
                <c:pt idx="226">
                  <c:v>0.99824100000000004</c:v>
                </c:pt>
                <c:pt idx="227">
                  <c:v>0.99809700000000001</c:v>
                </c:pt>
                <c:pt idx="228">
                  <c:v>0.99769200000000002</c:v>
                </c:pt>
                <c:pt idx="229">
                  <c:v>0.997417</c:v>
                </c:pt>
                <c:pt idx="230">
                  <c:v>0.99718700000000005</c:v>
                </c:pt>
                <c:pt idx="231">
                  <c:v>0.99690999999999996</c:v>
                </c:pt>
                <c:pt idx="232">
                  <c:v>0.99635499999999999</c:v>
                </c:pt>
                <c:pt idx="233">
                  <c:v>0.99591399999999997</c:v>
                </c:pt>
                <c:pt idx="234">
                  <c:v>0.99558100000000005</c:v>
                </c:pt>
                <c:pt idx="235">
                  <c:v>0.99539699999999998</c:v>
                </c:pt>
                <c:pt idx="236">
                  <c:v>0.99528300000000003</c:v>
                </c:pt>
                <c:pt idx="237">
                  <c:v>0.995564</c:v>
                </c:pt>
                <c:pt idx="238">
                  <c:v>0.99595299999999998</c:v>
                </c:pt>
                <c:pt idx="239">
                  <c:v>0.99652099999999999</c:v>
                </c:pt>
                <c:pt idx="240">
                  <c:v>0.99650399999999995</c:v>
                </c:pt>
                <c:pt idx="241">
                  <c:v>0.99723200000000001</c:v>
                </c:pt>
                <c:pt idx="242">
                  <c:v>0.99746900000000005</c:v>
                </c:pt>
                <c:pt idx="243">
                  <c:v>0.99819899999999995</c:v>
                </c:pt>
                <c:pt idx="244">
                  <c:v>0.99878999999999996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F5B-41D5-9634-3254F13F3B47}"/>
            </c:ext>
          </c:extLst>
        </c:ser>
        <c:ser>
          <c:idx val="1"/>
          <c:order val="1"/>
          <c:tx>
            <c:strRef>
              <c:f>'2_Rh110 in buffer'!$E$1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'2_Rh110 in buffer'!$A$3:$A$252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'2_Rh110 in buffer'!$E$3:$E$200</c:f>
              <c:numCache>
                <c:formatCode>General</c:formatCode>
                <c:ptCount val="198"/>
                <c:pt idx="0">
                  <c:v>1.2449156390717542</c:v>
                </c:pt>
                <c:pt idx="1">
                  <c:v>1.2448861473403403</c:v>
                </c:pt>
                <c:pt idx="2">
                  <c:v>1.2448567021546844</c:v>
                </c:pt>
                <c:pt idx="3">
                  <c:v>1.2448273034272463</c:v>
                </c:pt>
                <c:pt idx="4">
                  <c:v>1.2447979510706511</c:v>
                </c:pt>
                <c:pt idx="5">
                  <c:v>1.2447686449976885</c:v>
                </c:pt>
                <c:pt idx="6">
                  <c:v>1.2447393851213135</c:v>
                </c:pt>
                <c:pt idx="7">
                  <c:v>1.2447101713546451</c:v>
                </c:pt>
                <c:pt idx="8">
                  <c:v>1.2446810036109668</c:v>
                </c:pt>
                <c:pt idx="9">
                  <c:v>1.2446518818037253</c:v>
                </c:pt>
                <c:pt idx="10">
                  <c:v>1.2446228058465316</c:v>
                </c:pt>
                <c:pt idx="11">
                  <c:v>1.2445937756531593</c:v>
                </c:pt>
                <c:pt idx="12">
                  <c:v>1.2445647911375448</c:v>
                </c:pt>
                <c:pt idx="13">
                  <c:v>1.2445358522137879</c:v>
                </c:pt>
                <c:pt idx="14">
                  <c:v>1.2445069587961495</c:v>
                </c:pt>
                <c:pt idx="15">
                  <c:v>1.244449308137084</c:v>
                </c:pt>
                <c:pt idx="16">
                  <c:v>1.2443918384776742</c:v>
                </c:pt>
                <c:pt idx="17">
                  <c:v>1.2443345491378215</c:v>
                </c:pt>
                <c:pt idx="18">
                  <c:v>1.2442774394399949</c:v>
                </c:pt>
                <c:pt idx="19">
                  <c:v>1.2442205087092202</c:v>
                </c:pt>
                <c:pt idx="20">
                  <c:v>1.244163756273071</c:v>
                </c:pt>
                <c:pt idx="21">
                  <c:v>1.2441071814616587</c:v>
                </c:pt>
                <c:pt idx="22">
                  <c:v>1.2440507836076229</c:v>
                </c:pt>
                <c:pt idx="23">
                  <c:v>1.2439385161148242</c:v>
                </c:pt>
                <c:pt idx="24">
                  <c:v>1.2438269485059972</c:v>
                </c:pt>
                <c:pt idx="25">
                  <c:v>1.2437160755323104</c:v>
                </c:pt>
                <c:pt idx="26">
                  <c:v>1.2436058919844784</c:v>
                </c:pt>
                <c:pt idx="27">
                  <c:v>1.2434963926924629</c:v>
                </c:pt>
                <c:pt idx="28">
                  <c:v>1.243387572525178</c:v>
                </c:pt>
                <c:pt idx="29">
                  <c:v>1.2432794263901963</c:v>
                </c:pt>
                <c:pt idx="30">
                  <c:v>1.2431719492334574</c:v>
                </c:pt>
                <c:pt idx="31">
                  <c:v>1.2429589818285689</c:v>
                </c:pt>
                <c:pt idx="32">
                  <c:v>1.242748630634438</c:v>
                </c:pt>
                <c:pt idx="33">
                  <c:v>1.2425408565705833</c:v>
                </c:pt>
                <c:pt idx="34">
                  <c:v>1.242335621143174</c:v>
                </c:pt>
                <c:pt idx="35">
                  <c:v>1.2421328864362202</c:v>
                </c:pt>
                <c:pt idx="36">
                  <c:v>1.2419326151028967</c:v>
                </c:pt>
                <c:pt idx="37">
                  <c:v>1.2417347703569963</c:v>
                </c:pt>
                <c:pt idx="38">
                  <c:v>1.2415393159645123</c:v>
                </c:pt>
                <c:pt idx="39">
                  <c:v>1.2411554360151422</c:v>
                </c:pt>
                <c:pt idx="40">
                  <c:v>1.2407806961147529</c:v>
                </c:pt>
                <c:pt idx="41">
                  <c:v>1.24041482544064</c:v>
                </c:pt>
                <c:pt idx="42">
                  <c:v>1.2400575612395262</c:v>
                </c:pt>
                <c:pt idx="43">
                  <c:v>1.2397086485870505</c:v>
                </c:pt>
                <c:pt idx="44">
                  <c:v>1.2393678401544277</c:v>
                </c:pt>
                <c:pt idx="45">
                  <c:v>1.239034895982061</c:v>
                </c:pt>
                <c:pt idx="46">
                  <c:v>1.2387095832599058</c:v>
                </c:pt>
                <c:pt idx="47">
                  <c:v>1.2380809554016203</c:v>
                </c:pt>
                <c:pt idx="48">
                  <c:v>1.2374802291501121</c:v>
                </c:pt>
                <c:pt idx="49">
                  <c:v>1.2369057784751465</c:v>
                </c:pt>
                <c:pt idx="50">
                  <c:v>1.2363560727915552</c:v>
                </c:pt>
                <c:pt idx="51">
                  <c:v>1.2358296713547536</c:v>
                </c:pt>
                <c:pt idx="52">
                  <c:v>1.2353252179853957</c:v>
                </c:pt>
                <c:pt idx="53">
                  <c:v>1.2348414361038331</c:v>
                </c:pt>
                <c:pt idx="54">
                  <c:v>1.2343771240561852</c:v>
                </c:pt>
                <c:pt idx="55">
                  <c:v>1.2335024513376105</c:v>
                </c:pt>
                <c:pt idx="56">
                  <c:v>1.2326929242734077</c:v>
                </c:pt>
                <c:pt idx="57">
                  <c:v>1.231941210125002</c:v>
                </c:pt>
                <c:pt idx="58">
                  <c:v>1.2312408115064724</c:v>
                </c:pt>
                <c:pt idx="59">
                  <c:v>1.2305859711703286</c:v>
                </c:pt>
                <c:pt idx="60">
                  <c:v>1.2299715876473665</c:v>
                </c:pt>
                <c:pt idx="61">
                  <c:v>1.2293931405031218</c:v>
                </c:pt>
                <c:pt idx="62">
                  <c:v>1.2288466241145566</c:v>
                </c:pt>
                <c:pt idx="63">
                  <c:v>1.2278355898109969</c:v>
                </c:pt>
                <c:pt idx="64">
                  <c:v>1.2269146675453668</c:v>
                </c:pt>
                <c:pt idx="65">
                  <c:v>1.2260651538913454</c:v>
                </c:pt>
                <c:pt idx="66">
                  <c:v>1.2252723600437627</c:v>
                </c:pt>
                <c:pt idx="67">
                  <c:v>1.2245247489576256</c:v>
                </c:pt>
                <c:pt idx="68">
                  <c:v>1.2238132579709364</c:v>
                </c:pt>
                <c:pt idx="69">
                  <c:v>1.2231307670347942</c:v>
                </c:pt>
                <c:pt idx="70">
                  <c:v>1.2224716812480809</c:v>
                </c:pt>
                <c:pt idx="71">
                  <c:v>1.2212070753003514</c:v>
                </c:pt>
                <c:pt idx="72">
                  <c:v>1.2199943731893992</c:v>
                </c:pt>
                <c:pt idx="73">
                  <c:v>1.2188180555207155</c:v>
                </c:pt>
                <c:pt idx="74">
                  <c:v>1.2176684892728598</c:v>
                </c:pt>
                <c:pt idx="75">
                  <c:v>1.2165396711590044</c:v>
                </c:pt>
                <c:pt idx="76">
                  <c:v>1.21542783664832</c:v>
                </c:pt>
                <c:pt idx="77">
                  <c:v>1.2143306025384499</c:v>
                </c:pt>
                <c:pt idx="78">
                  <c:v>1.2132464383932273</c:v>
                </c:pt>
                <c:pt idx="79">
                  <c:v>1.2111136319157532</c:v>
                </c:pt>
                <c:pt idx="80">
                  <c:v>1.2090246053856526</c:v>
                </c:pt>
                <c:pt idx="81">
                  <c:v>1.2069767999303711</c:v>
                </c:pt>
                <c:pt idx="82">
                  <c:v>1.2049685408645849</c:v>
                </c:pt>
                <c:pt idx="83">
                  <c:v>1.2029985161094219</c:v>
                </c:pt>
                <c:pt idx="84">
                  <c:v>1.201065576682028</c:v>
                </c:pt>
                <c:pt idx="85">
                  <c:v>1.1991686596782098</c:v>
                </c:pt>
                <c:pt idx="86">
                  <c:v>1.1973067578858776</c:v>
                </c:pt>
                <c:pt idx="87">
                  <c:v>1.1936841807825402</c:v>
                </c:pt>
                <c:pt idx="88">
                  <c:v>1.1901905625082783</c:v>
                </c:pt>
                <c:pt idx="89">
                  <c:v>1.1868191379397643</c:v>
                </c:pt>
                <c:pt idx="90">
                  <c:v>1.1835636081375418</c:v>
                </c:pt>
                <c:pt idx="91">
                  <c:v>1.1804180999460381</c:v>
                </c:pt>
                <c:pt idx="92">
                  <c:v>1.1773771304804388</c:v>
                </c:pt>
                <c:pt idx="93">
                  <c:v>1.1744355752200655</c:v>
                </c:pt>
                <c:pt idx="94">
                  <c:v>1.1715886391976913</c:v>
                </c:pt>
                <c:pt idx="95">
                  <c:v>1.1661609387652927</c:v>
                </c:pt>
                <c:pt idx="96">
                  <c:v>1.1610613286099736</c:v>
                </c:pt>
                <c:pt idx="97">
                  <c:v>1.1562609440216474</c:v>
                </c:pt>
                <c:pt idx="98">
                  <c:v>1.1517342097316994</c:v>
                </c:pt>
                <c:pt idx="99">
                  <c:v>1.1474583843096935</c:v>
                </c:pt>
                <c:pt idx="100">
                  <c:v>1.1434131782428669</c:v>
                </c:pt>
                <c:pt idx="101">
                  <c:v>1.1395804321608323</c:v>
                </c:pt>
                <c:pt idx="102">
                  <c:v>1.135943844437759</c:v>
                </c:pt>
                <c:pt idx="103">
                  <c:v>1.1292018702648543</c:v>
                </c:pt>
                <c:pt idx="104">
                  <c:v>1.123085996759819</c:v>
                </c:pt>
                <c:pt idx="105">
                  <c:v>1.1175129267134052</c:v>
                </c:pt>
                <c:pt idx="106">
                  <c:v>1.1124135111225557</c:v>
                </c:pt>
                <c:pt idx="107">
                  <c:v>1.1077298676727225</c:v>
                </c:pt>
                <c:pt idx="108">
                  <c:v>1.1034131758995984</c:v>
                </c:pt>
                <c:pt idx="109">
                  <c:v>1.099421970620853</c:v>
                </c:pt>
                <c:pt idx="110">
                  <c:v>1.0957208070353324</c:v>
                </c:pt>
                <c:pt idx="111">
                  <c:v>1.0890708155663988</c:v>
                </c:pt>
                <c:pt idx="112">
                  <c:v>1.0832649571160489</c:v>
                </c:pt>
                <c:pt idx="113">
                  <c:v>1.0781522589426971</c:v>
                </c:pt>
                <c:pt idx="114">
                  <c:v>1.0736157226832419</c:v>
                </c:pt>
                <c:pt idx="115">
                  <c:v>1.0695632765614773</c:v>
                </c:pt>
                <c:pt idx="116">
                  <c:v>1.0659214728231907</c:v>
                </c:pt>
                <c:pt idx="117">
                  <c:v>1.0626310054100787</c:v>
                </c:pt>
                <c:pt idx="118">
                  <c:v>1.0596434627200284</c:v>
                </c:pt>
                <c:pt idx="119">
                  <c:v>1.0544242304016991</c:v>
                </c:pt>
                <c:pt idx="120">
                  <c:v>1.0500172637670577</c:v>
                </c:pt>
                <c:pt idx="121">
                  <c:v>1.0462470545405302</c:v>
                </c:pt>
                <c:pt idx="122">
                  <c:v>1.0429852514113656</c:v>
                </c:pt>
                <c:pt idx="123">
                  <c:v>1.0401358190808849</c:v>
                </c:pt>
                <c:pt idx="124">
                  <c:v>1.0376254701944816</c:v>
                </c:pt>
                <c:pt idx="125">
                  <c:v>1.0353973066931217</c:v>
                </c:pt>
                <c:pt idx="126">
                  <c:v>1.0334064811224946</c:v>
                </c:pt>
                <c:pt idx="127">
                  <c:v>1.0300003989671442</c:v>
                </c:pt>
                <c:pt idx="128">
                  <c:v>1.0271939549301428</c:v>
                </c:pt>
                <c:pt idx="129">
                  <c:v>1.0248424422790043</c:v>
                </c:pt>
                <c:pt idx="130">
                  <c:v>1.0228442162835658</c:v>
                </c:pt>
                <c:pt idx="131">
                  <c:v>1.0211257870341246</c:v>
                </c:pt>
                <c:pt idx="132">
                  <c:v>1.0196327038294621</c:v>
                </c:pt>
                <c:pt idx="133">
                  <c:v>1.0183237656965598</c:v>
                </c:pt>
                <c:pt idx="134">
                  <c:v>1.0171672232964915</c:v>
                </c:pt>
                <c:pt idx="135">
                  <c:v>1.0152170022364371</c:v>
                </c:pt>
                <c:pt idx="136">
                  <c:v>1.0136374073320007</c:v>
                </c:pt>
                <c:pt idx="137">
                  <c:v>1.0123331969036555</c:v>
                </c:pt>
                <c:pt idx="138">
                  <c:v>1.011239105151382</c:v>
                </c:pt>
                <c:pt idx="139">
                  <c:v>1.0103089165351169</c:v>
                </c:pt>
                <c:pt idx="140">
                  <c:v>1.0095089933154289</c:v>
                </c:pt>
                <c:pt idx="141">
                  <c:v>1.0088142734832148</c:v>
                </c:pt>
                <c:pt idx="142">
                  <c:v>1.0082057049028657</c:v>
                </c:pt>
                <c:pt idx="143">
                  <c:v>1.007191224520217</c:v>
                </c:pt>
                <c:pt idx="144">
                  <c:v>1.0063809774258743</c:v>
                </c:pt>
                <c:pt idx="145">
                  <c:v>1.00572028477861</c:v>
                </c:pt>
                <c:pt idx="146">
                  <c:v>1.0051722523155675</c:v>
                </c:pt>
                <c:pt idx="147">
                  <c:v>1.0047111012630761</c:v>
                </c:pt>
                <c:pt idx="148">
                  <c:v>1.0043182880356927</c:v>
                </c:pt>
                <c:pt idx="149">
                  <c:v>1.0039801413673177</c:v>
                </c:pt>
                <c:pt idx="150">
                  <c:v>1.0036863672881362</c:v>
                </c:pt>
                <c:pt idx="151">
                  <c:v>1.0032021035160856</c:v>
                </c:pt>
                <c:pt idx="152">
                  <c:v>1.0028206732044185</c:v>
                </c:pt>
                <c:pt idx="153">
                  <c:v>1.0025135192770713</c:v>
                </c:pt>
                <c:pt idx="154">
                  <c:v>1.0022616242512894</c:v>
                </c:pt>
                <c:pt idx="155">
                  <c:v>1.0020518580777704</c:v>
                </c:pt>
                <c:pt idx="156">
                  <c:v>1.001874879320918</c:v>
                </c:pt>
                <c:pt idx="157">
                  <c:v>1.0017238711999117</c:v>
                </c:pt>
                <c:pt idx="158">
                  <c:v>1.0015937499140122</c:v>
                </c:pt>
                <c:pt idx="159">
                  <c:v>1.0013815921308857</c:v>
                </c:pt>
                <c:pt idx="160">
                  <c:v>1.0012167077921059</c:v>
                </c:pt>
                <c:pt idx="161">
                  <c:v>1.0010854873865942</c:v>
                </c:pt>
                <c:pt idx="162">
                  <c:v>1.0009789947722212</c:v>
                </c:pt>
                <c:pt idx="163">
                  <c:v>1.0008911389792223</c:v>
                </c:pt>
                <c:pt idx="164">
                  <c:v>1.0008176371425679</c:v>
                </c:pt>
                <c:pt idx="165">
                  <c:v>1.0007553974201904</c:v>
                </c:pt>
                <c:pt idx="166">
                  <c:v>1.0007021367888445</c:v>
                </c:pt>
                <c:pt idx="167">
                  <c:v>1.0006160783160354</c:v>
                </c:pt>
                <c:pt idx="168">
                  <c:v>1.0005499109471632</c:v>
                </c:pt>
                <c:pt idx="169">
                  <c:v>1.0004977343407475</c:v>
                </c:pt>
                <c:pt idx="170">
                  <c:v>1.0004557250808024</c:v>
                </c:pt>
                <c:pt idx="171">
                  <c:v>1.0004213071535846</c:v>
                </c:pt>
                <c:pt idx="172">
                  <c:v>1.0003926877616478</c:v>
                </c:pt>
                <c:pt idx="173">
                  <c:v>1.0003685844820642</c:v>
                </c:pt>
                <c:pt idx="174">
                  <c:v>1.0003480581330757</c:v>
                </c:pt>
                <c:pt idx="175">
                  <c:v>1.0003150960990126</c:v>
                </c:pt>
                <c:pt idx="176">
                  <c:v>1.0002899346951062</c:v>
                </c:pt>
                <c:pt idx="177">
                  <c:v>1.0002702124839669</c:v>
                </c:pt>
                <c:pt idx="178">
                  <c:v>1.0002544141027996</c:v>
                </c:pt>
                <c:pt idx="179">
                  <c:v>1.0002415270404035</c:v>
                </c:pt>
                <c:pt idx="180">
                  <c:v>1.0002308516765779</c:v>
                </c:pt>
                <c:pt idx="181">
                  <c:v>1.0002218906868166</c:v>
                </c:pt>
                <c:pt idx="182">
                  <c:v>1.0002142818599356</c:v>
                </c:pt>
                <c:pt idx="183">
                  <c:v>1.0002021083510739</c:v>
                </c:pt>
                <c:pt idx="184">
                  <c:v>1.000192855148035</c:v>
                </c:pt>
                <c:pt idx="185">
                  <c:v>1.0001856275101015</c:v>
                </c:pt>
                <c:pt idx="186">
                  <c:v>1.0001798547371905</c:v>
                </c:pt>
                <c:pt idx="187">
                  <c:v>1.0001751574369975</c:v>
                </c:pt>
                <c:pt idx="188">
                  <c:v>1.000171274586811</c:v>
                </c:pt>
                <c:pt idx="189">
                  <c:v>1.0001680213263695</c:v>
                </c:pt>
                <c:pt idx="190">
                  <c:v>1.0001652634525375</c:v>
                </c:pt>
                <c:pt idx="191">
                  <c:v>1.0001608600321725</c:v>
                </c:pt>
                <c:pt idx="192">
                  <c:v>1.0001575206990012</c:v>
                </c:pt>
                <c:pt idx="193">
                  <c:v>1.0001549172844526</c:v>
                </c:pt>
                <c:pt idx="194">
                  <c:v>1.0001528411790648</c:v>
                </c:pt>
                <c:pt idx="195">
                  <c:v>1.000151154092205</c:v>
                </c:pt>
                <c:pt idx="196">
                  <c:v>1.0001497611049928</c:v>
                </c:pt>
                <c:pt idx="197">
                  <c:v>1.0001485951305471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F5B-41D5-9634-3254F13F3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95232"/>
        <c:axId val="156096768"/>
      </c:scatterChart>
      <c:valAx>
        <c:axId val="156095232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096768"/>
        <c:crosses val="autoZero"/>
        <c:crossBetween val="midCat"/>
      </c:valAx>
      <c:valAx>
        <c:axId val="156096768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095232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955307770994652"/>
          <c:y val="8.4598698481561818E-2"/>
          <c:w val="0.11312852883680802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746106247892198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'2_Rh110 in buffer'!$F$1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'2_Rh110 in buffer'!$A$3:$A$235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'2_Rh110 in buffer'!$F$3:$F$200</c:f>
              <c:numCache>
                <c:formatCode>General</c:formatCode>
                <c:ptCount val="198"/>
                <c:pt idx="0">
                  <c:v>-1.7585639071754144E-2</c:v>
                </c:pt>
                <c:pt idx="1">
                  <c:v>-1.8656147340340379E-2</c:v>
                </c:pt>
                <c:pt idx="2">
                  <c:v>5.5532978453156634E-3</c:v>
                </c:pt>
                <c:pt idx="3">
                  <c:v>4.3926965727536516E-3</c:v>
                </c:pt>
                <c:pt idx="4">
                  <c:v>1.2582048929348888E-2</c:v>
                </c:pt>
                <c:pt idx="5">
                  <c:v>-4.708644997688527E-3</c:v>
                </c:pt>
                <c:pt idx="6">
                  <c:v>1.3740614878686497E-2</c:v>
                </c:pt>
                <c:pt idx="7">
                  <c:v>4.4198286453549507E-3</c:v>
                </c:pt>
                <c:pt idx="8">
                  <c:v>-5.261003610966819E-3</c:v>
                </c:pt>
                <c:pt idx="9">
                  <c:v>3.5811819627462604E-4</c:v>
                </c:pt>
                <c:pt idx="10">
                  <c:v>-3.1828058465315223E-3</c:v>
                </c:pt>
                <c:pt idx="11">
                  <c:v>1.8862243468407147E-3</c:v>
                </c:pt>
                <c:pt idx="12">
                  <c:v>-1.301479113754489E-2</c:v>
                </c:pt>
                <c:pt idx="13">
                  <c:v>1.8614147786212065E-2</c:v>
                </c:pt>
                <c:pt idx="14">
                  <c:v>4.6730412038504809E-3</c:v>
                </c:pt>
                <c:pt idx="15">
                  <c:v>2.0306918629160453E-3</c:v>
                </c:pt>
                <c:pt idx="16">
                  <c:v>2.8161522325875765E-5</c:v>
                </c:pt>
                <c:pt idx="17">
                  <c:v>-7.6545491378214869E-3</c:v>
                </c:pt>
                <c:pt idx="18">
                  <c:v>4.2625605600050687E-3</c:v>
                </c:pt>
                <c:pt idx="19">
                  <c:v>5.1949129077977219E-4</c:v>
                </c:pt>
                <c:pt idx="20">
                  <c:v>3.8662437269290084E-3</c:v>
                </c:pt>
                <c:pt idx="21">
                  <c:v>-1.1417181461658599E-2</c:v>
                </c:pt>
                <c:pt idx="22">
                  <c:v>-6.4407836076227909E-3</c:v>
                </c:pt>
                <c:pt idx="23">
                  <c:v>5.9014838851758622E-3</c:v>
                </c:pt>
                <c:pt idx="24">
                  <c:v>-3.0569485059972479E-3</c:v>
                </c:pt>
                <c:pt idx="25">
                  <c:v>-1.1046075532310518E-2</c:v>
                </c:pt>
                <c:pt idx="26">
                  <c:v>-1.4558919844782636E-3</c:v>
                </c:pt>
                <c:pt idx="27">
                  <c:v>-2.26392692462829E-4</c:v>
                </c:pt>
                <c:pt idx="28">
                  <c:v>-3.387572525177962E-3</c:v>
                </c:pt>
                <c:pt idx="29">
                  <c:v>3.2405736098037874E-3</c:v>
                </c:pt>
                <c:pt idx="30">
                  <c:v>-7.6194923345740406E-4</c:v>
                </c:pt>
                <c:pt idx="31">
                  <c:v>8.0101817143107823E-4</c:v>
                </c:pt>
                <c:pt idx="32">
                  <c:v>-2.9686306344378632E-3</c:v>
                </c:pt>
                <c:pt idx="33">
                  <c:v>2.3914342941666611E-4</c:v>
                </c:pt>
                <c:pt idx="34">
                  <c:v>2.7243788568260818E-3</c:v>
                </c:pt>
                <c:pt idx="35">
                  <c:v>2.4471135637798014E-3</c:v>
                </c:pt>
                <c:pt idx="36">
                  <c:v>-5.0726151028965827E-3</c:v>
                </c:pt>
                <c:pt idx="37">
                  <c:v>3.0652296430035975E-3</c:v>
                </c:pt>
                <c:pt idx="38">
                  <c:v>1.2906840354878213E-3</c:v>
                </c:pt>
                <c:pt idx="39">
                  <c:v>5.245639848576733E-4</c:v>
                </c:pt>
                <c:pt idx="40">
                  <c:v>2.1193038852469481E-3</c:v>
                </c:pt>
                <c:pt idx="41">
                  <c:v>2.4951745593599917E-3</c:v>
                </c:pt>
                <c:pt idx="42">
                  <c:v>1.2624387604738274E-3</c:v>
                </c:pt>
                <c:pt idx="43">
                  <c:v>3.3135141294948767E-4</c:v>
                </c:pt>
                <c:pt idx="44">
                  <c:v>-1.3278401544276619E-3</c:v>
                </c:pt>
                <c:pt idx="45">
                  <c:v>-2.3348959820610471E-3</c:v>
                </c:pt>
                <c:pt idx="46">
                  <c:v>-2.7958325990584676E-4</c:v>
                </c:pt>
                <c:pt idx="47">
                  <c:v>-2.0609554016204346E-3</c:v>
                </c:pt>
                <c:pt idx="48">
                  <c:v>-1.45022915011217E-3</c:v>
                </c:pt>
                <c:pt idx="49">
                  <c:v>-8.5577847514639593E-4</c:v>
                </c:pt>
                <c:pt idx="50">
                  <c:v>1.2339272084447295E-3</c:v>
                </c:pt>
                <c:pt idx="51">
                  <c:v>-4.0796713547537333E-3</c:v>
                </c:pt>
                <c:pt idx="52">
                  <c:v>3.3347820146043539E-3</c:v>
                </c:pt>
                <c:pt idx="53">
                  <c:v>3.6856389616679586E-4</c:v>
                </c:pt>
                <c:pt idx="54">
                  <c:v>-2.1712405618523611E-4</c:v>
                </c:pt>
                <c:pt idx="55">
                  <c:v>1.7875486623895043E-3</c:v>
                </c:pt>
                <c:pt idx="56">
                  <c:v>-1.3729242734077385E-3</c:v>
                </c:pt>
                <c:pt idx="57">
                  <c:v>2.387898749980355E-4</c:v>
                </c:pt>
                <c:pt idx="58">
                  <c:v>-7.4081150647242744E-4</c:v>
                </c:pt>
                <c:pt idx="59">
                  <c:v>1.5402882967130438E-4</c:v>
                </c:pt>
                <c:pt idx="60">
                  <c:v>1.1984123526336266E-3</c:v>
                </c:pt>
                <c:pt idx="61">
                  <c:v>1.0068594968781763E-3</c:v>
                </c:pt>
                <c:pt idx="62">
                  <c:v>1.3733758854435063E-3</c:v>
                </c:pt>
                <c:pt idx="63">
                  <c:v>7.1441018900308961E-4</c:v>
                </c:pt>
                <c:pt idx="64">
                  <c:v>7.5533245463321741E-4</c:v>
                </c:pt>
                <c:pt idx="65">
                  <c:v>7.2484610865464205E-4</c:v>
                </c:pt>
                <c:pt idx="66">
                  <c:v>-1.2523600437626126E-3</c:v>
                </c:pt>
                <c:pt idx="67">
                  <c:v>-2.5474895762567229E-4</c:v>
                </c:pt>
                <c:pt idx="68">
                  <c:v>-2.4325797093638357E-4</c:v>
                </c:pt>
                <c:pt idx="69">
                  <c:v>9.2923296520575072E-4</c:v>
                </c:pt>
                <c:pt idx="70">
                  <c:v>6.0831875191902363E-4</c:v>
                </c:pt>
                <c:pt idx="71">
                  <c:v>-4.6707530035150491E-4</c:v>
                </c:pt>
                <c:pt idx="72">
                  <c:v>5.9562681060087996E-4</c:v>
                </c:pt>
                <c:pt idx="73">
                  <c:v>9.0194447928437782E-4</c:v>
                </c:pt>
                <c:pt idx="74">
                  <c:v>-1.9084892728598035E-3</c:v>
                </c:pt>
                <c:pt idx="75">
                  <c:v>-8.4967115900447254E-4</c:v>
                </c:pt>
                <c:pt idx="76">
                  <c:v>3.6216335167993385E-4</c:v>
                </c:pt>
                <c:pt idx="77">
                  <c:v>2.8939746155010049E-4</c:v>
                </c:pt>
                <c:pt idx="78">
                  <c:v>-7.9643839322729448E-4</c:v>
                </c:pt>
                <c:pt idx="79">
                  <c:v>-2.1363191575307638E-4</c:v>
                </c:pt>
                <c:pt idx="80">
                  <c:v>8.5394614347311659E-5</c:v>
                </c:pt>
                <c:pt idx="81">
                  <c:v>4.0320006962879518E-4</c:v>
                </c:pt>
                <c:pt idx="82">
                  <c:v>1.4591354151605174E-6</c:v>
                </c:pt>
                <c:pt idx="83">
                  <c:v>-2.185161094219179E-4</c:v>
                </c:pt>
                <c:pt idx="84">
                  <c:v>-1.6855766820280671E-3</c:v>
                </c:pt>
                <c:pt idx="85">
                  <c:v>-2.7865967820983606E-4</c:v>
                </c:pt>
                <c:pt idx="86">
                  <c:v>2.732421141224961E-4</c:v>
                </c:pt>
                <c:pt idx="87">
                  <c:v>-4.6418078254029105E-4</c:v>
                </c:pt>
                <c:pt idx="88">
                  <c:v>-1.8056250827824805E-4</c:v>
                </c:pt>
                <c:pt idx="89">
                  <c:v>1.7086206023564365E-4</c:v>
                </c:pt>
                <c:pt idx="90">
                  <c:v>-1.360813754169854E-5</c:v>
                </c:pt>
                <c:pt idx="91">
                  <c:v>-4.8099946038160368E-5</c:v>
                </c:pt>
                <c:pt idx="92">
                  <c:v>-6.7130480438715168E-5</c:v>
                </c:pt>
                <c:pt idx="93">
                  <c:v>-2.5575220065521265E-5</c:v>
                </c:pt>
                <c:pt idx="94">
                  <c:v>3.6136080230875223E-4</c:v>
                </c:pt>
                <c:pt idx="95">
                  <c:v>2.3906123470740503E-4</c:v>
                </c:pt>
                <c:pt idx="96">
                  <c:v>3.7867139002645267E-4</c:v>
                </c:pt>
                <c:pt idx="97">
                  <c:v>-1.209440216474178E-4</c:v>
                </c:pt>
                <c:pt idx="98">
                  <c:v>7.5790268300623964E-5</c:v>
                </c:pt>
                <c:pt idx="99">
                  <c:v>-1.2838430969352999E-4</c:v>
                </c:pt>
                <c:pt idx="100">
                  <c:v>4.6821757132997632E-5</c:v>
                </c:pt>
                <c:pt idx="101">
                  <c:v>-1.6043216083216905E-4</c:v>
                </c:pt>
                <c:pt idx="102">
                  <c:v>1.4615556224106818E-4</c:v>
                </c:pt>
                <c:pt idx="103">
                  <c:v>-2.1870264854229049E-5</c:v>
                </c:pt>
                <c:pt idx="104">
                  <c:v>-1.6599675981909812E-4</c:v>
                </c:pt>
                <c:pt idx="105">
                  <c:v>4.9707328659476246E-4</c:v>
                </c:pt>
                <c:pt idx="106">
                  <c:v>2.6488877444386105E-5</c:v>
                </c:pt>
                <c:pt idx="107">
                  <c:v>-7.986767272250006E-5</c:v>
                </c:pt>
                <c:pt idx="108">
                  <c:v>5.6824100401531297E-5</c:v>
                </c:pt>
                <c:pt idx="109">
                  <c:v>-1.9197062085307692E-4</c:v>
                </c:pt>
                <c:pt idx="110">
                  <c:v>-9.0807035332263197E-5</c:v>
                </c:pt>
                <c:pt idx="111">
                  <c:v>8.9184433601063873E-5</c:v>
                </c:pt>
                <c:pt idx="112">
                  <c:v>-1.1495711604880832E-4</c:v>
                </c:pt>
                <c:pt idx="113">
                  <c:v>-9.2258942697043267E-5</c:v>
                </c:pt>
                <c:pt idx="114">
                  <c:v>-9.5722683241872275E-5</c:v>
                </c:pt>
                <c:pt idx="115">
                  <c:v>-2.3276561477381108E-5</c:v>
                </c:pt>
                <c:pt idx="116">
                  <c:v>-7.1472823190754653E-5</c:v>
                </c:pt>
                <c:pt idx="117">
                  <c:v>-9.1005410078670579E-5</c:v>
                </c:pt>
                <c:pt idx="118">
                  <c:v>-8.3462720028348869E-5</c:v>
                </c:pt>
                <c:pt idx="119">
                  <c:v>-6.4230401699116868E-5</c:v>
                </c:pt>
                <c:pt idx="120">
                  <c:v>5.2736232942329764E-5</c:v>
                </c:pt>
                <c:pt idx="121">
                  <c:v>7.2945459469675455E-5</c:v>
                </c:pt>
                <c:pt idx="122">
                  <c:v>2.2474858863441582E-4</c:v>
                </c:pt>
                <c:pt idx="123">
                  <c:v>3.0418091911510459E-4</c:v>
                </c:pt>
                <c:pt idx="124">
                  <c:v>1.5452980551833306E-4</c:v>
                </c:pt>
                <c:pt idx="125">
                  <c:v>3.5269330687826006E-4</c:v>
                </c:pt>
                <c:pt idx="126">
                  <c:v>4.3351887750553431E-4</c:v>
                </c:pt>
                <c:pt idx="127">
                  <c:v>1.2960103285575286E-4</c:v>
                </c:pt>
                <c:pt idx="128">
                  <c:v>1.2604506985725017E-4</c:v>
                </c:pt>
                <c:pt idx="129">
                  <c:v>1.3755772099566244E-4</c:v>
                </c:pt>
                <c:pt idx="130">
                  <c:v>3.5783716434201196E-5</c:v>
                </c:pt>
                <c:pt idx="131">
                  <c:v>8.4212965875352097E-5</c:v>
                </c:pt>
                <c:pt idx="132">
                  <c:v>2.4729617053775854E-4</c:v>
                </c:pt>
                <c:pt idx="133">
                  <c:v>2.5623430344023923E-4</c:v>
                </c:pt>
                <c:pt idx="134">
                  <c:v>2.7277670350844829E-4</c:v>
                </c:pt>
                <c:pt idx="135">
                  <c:v>1.5299776356303418E-4</c:v>
                </c:pt>
                <c:pt idx="136">
                  <c:v>1.2259266799929947E-4</c:v>
                </c:pt>
                <c:pt idx="137">
                  <c:v>6.8030963444876136E-6</c:v>
                </c:pt>
                <c:pt idx="138">
                  <c:v>-2.3910515138214627E-4</c:v>
                </c:pt>
                <c:pt idx="139">
                  <c:v>-7.089165351168436E-4</c:v>
                </c:pt>
                <c:pt idx="140">
                  <c:v>-4.3899331542895936E-4</c:v>
                </c:pt>
                <c:pt idx="141">
                  <c:v>-2.4427348321487408E-4</c:v>
                </c:pt>
                <c:pt idx="142">
                  <c:v>-1.5570490286576089E-4</c:v>
                </c:pt>
                <c:pt idx="143">
                  <c:v>-1.4122452021703147E-4</c:v>
                </c:pt>
                <c:pt idx="144">
                  <c:v>-1.9097742587437239E-4</c:v>
                </c:pt>
                <c:pt idx="145">
                  <c:v>-9.0284778609950322E-5</c:v>
                </c:pt>
                <c:pt idx="146">
                  <c:v>-3.2252315567582457E-5</c:v>
                </c:pt>
                <c:pt idx="147">
                  <c:v>-4.9110126307616575E-4</c:v>
                </c:pt>
                <c:pt idx="148">
                  <c:v>-4.8828803569267443E-4</c:v>
                </c:pt>
                <c:pt idx="149">
                  <c:v>-4.2014136731771679E-4</c:v>
                </c:pt>
                <c:pt idx="150">
                  <c:v>-2.63672881362087E-5</c:v>
                </c:pt>
                <c:pt idx="151">
                  <c:v>1.9789648391443926E-4</c:v>
                </c:pt>
                <c:pt idx="152">
                  <c:v>-3.0067320441840018E-4</c:v>
                </c:pt>
                <c:pt idx="153">
                  <c:v>-1.2351927707143773E-4</c:v>
                </c:pt>
                <c:pt idx="154">
                  <c:v>-3.1624251289441574E-5</c:v>
                </c:pt>
                <c:pt idx="155">
                  <c:v>-1.0185807777052247E-4</c:v>
                </c:pt>
                <c:pt idx="156">
                  <c:v>-4.5487932091803351E-4</c:v>
                </c:pt>
                <c:pt idx="157">
                  <c:v>-7.3871199911756946E-5</c:v>
                </c:pt>
                <c:pt idx="158">
                  <c:v>-5.3749914012080069E-5</c:v>
                </c:pt>
                <c:pt idx="159">
                  <c:v>3.0840786911423557E-4</c:v>
                </c:pt>
                <c:pt idx="160">
                  <c:v>5.4329220789406385E-4</c:v>
                </c:pt>
                <c:pt idx="161">
                  <c:v>2.9451261340573964E-4</c:v>
                </c:pt>
                <c:pt idx="162">
                  <c:v>1.7100522777879767E-4</c:v>
                </c:pt>
                <c:pt idx="163">
                  <c:v>2.8861020777704027E-5</c:v>
                </c:pt>
                <c:pt idx="164">
                  <c:v>-3.5763714256797918E-4</c:v>
                </c:pt>
                <c:pt idx="165">
                  <c:v>-8.5397420190425066E-5</c:v>
                </c:pt>
                <c:pt idx="166">
                  <c:v>1.0786321115552333E-4</c:v>
                </c:pt>
                <c:pt idx="167">
                  <c:v>4.2392168396454544E-4</c:v>
                </c:pt>
                <c:pt idx="168">
                  <c:v>6.3008905283679084E-4</c:v>
                </c:pt>
                <c:pt idx="169">
                  <c:v>-1.3773434074759727E-4</c:v>
                </c:pt>
                <c:pt idx="170">
                  <c:v>-2.4572508080233924E-4</c:v>
                </c:pt>
                <c:pt idx="171">
                  <c:v>2.1869284641540254E-4</c:v>
                </c:pt>
                <c:pt idx="172">
                  <c:v>3.5731223835222536E-4</c:v>
                </c:pt>
                <c:pt idx="173">
                  <c:v>1.0141551793574344E-4</c:v>
                </c:pt>
                <c:pt idx="174">
                  <c:v>-1.8805813307576358E-4</c:v>
                </c:pt>
                <c:pt idx="175">
                  <c:v>1.1490390098733982E-4</c:v>
                </c:pt>
                <c:pt idx="176">
                  <c:v>-1.4993469510615753E-4</c:v>
                </c:pt>
                <c:pt idx="177">
                  <c:v>-3.4421248396687698E-4</c:v>
                </c:pt>
                <c:pt idx="178">
                  <c:v>-3.1841410279953575E-4</c:v>
                </c:pt>
                <c:pt idx="179">
                  <c:v>1.5847295959647845E-4</c:v>
                </c:pt>
                <c:pt idx="180">
                  <c:v>-1.0085167657791771E-4</c:v>
                </c:pt>
                <c:pt idx="181">
                  <c:v>9.8109313183547542E-5</c:v>
                </c:pt>
                <c:pt idx="182">
                  <c:v>-6.4281859935455543E-5</c:v>
                </c:pt>
                <c:pt idx="183">
                  <c:v>7.7891648926131651E-5</c:v>
                </c:pt>
                <c:pt idx="184">
                  <c:v>3.7144851964932002E-5</c:v>
                </c:pt>
                <c:pt idx="185">
                  <c:v>1.1437248989842885E-4</c:v>
                </c:pt>
                <c:pt idx="186">
                  <c:v>-1.985473719057218E-5</c:v>
                </c:pt>
                <c:pt idx="187">
                  <c:v>5.0484256300253882E-4</c:v>
                </c:pt>
                <c:pt idx="188">
                  <c:v>8.8725413188939228E-5</c:v>
                </c:pt>
                <c:pt idx="189">
                  <c:v>4.2197867363058528E-4</c:v>
                </c:pt>
                <c:pt idx="190">
                  <c:v>1.0473654746245842E-4</c:v>
                </c:pt>
                <c:pt idx="191">
                  <c:v>2.8913996782753415E-4</c:v>
                </c:pt>
                <c:pt idx="192">
                  <c:v>-3.7520699001314384E-5</c:v>
                </c:pt>
                <c:pt idx="193">
                  <c:v>4.5082715547373198E-5</c:v>
                </c:pt>
                <c:pt idx="194">
                  <c:v>-2.8411790646831747E-6</c:v>
                </c:pt>
                <c:pt idx="195">
                  <c:v>1.0884590779491887E-4</c:v>
                </c:pt>
                <c:pt idx="196">
                  <c:v>-8.9761104992813756E-5</c:v>
                </c:pt>
                <c:pt idx="197">
                  <c:v>-2.2359513054714952E-4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C59-4CF9-8B4A-AB11579B0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45920"/>
        <c:axId val="156147712"/>
      </c:scatterChart>
      <c:valAx>
        <c:axId val="156145920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147712"/>
        <c:crosses val="autoZero"/>
        <c:crossBetween val="midCat"/>
      </c:valAx>
      <c:valAx>
        <c:axId val="15614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145920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2458105358189446"/>
          <c:y val="0.12280701754385964"/>
          <c:w val="0.11312852883680802"/>
          <c:h val="9.941520467836256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675081286480982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'1_EGFP'!$B$1</c:f>
              <c:strCache>
                <c:ptCount val="1"/>
                <c:pt idx="0">
                  <c:v>gfp2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'1_EGFP'!$A$2:$A$252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'1_EGFP'!$B$2:$B$252</c:f>
              <c:numCache>
                <c:formatCode>General</c:formatCode>
                <c:ptCount val="251"/>
                <c:pt idx="0">
                  <c:v>1.3627800000000001</c:v>
                </c:pt>
                <c:pt idx="1">
                  <c:v>1.45004</c:v>
                </c:pt>
                <c:pt idx="2">
                  <c:v>1.4412199999999999</c:v>
                </c:pt>
                <c:pt idx="3">
                  <c:v>1.41469</c:v>
                </c:pt>
                <c:pt idx="4">
                  <c:v>1.4452400000000001</c:v>
                </c:pt>
                <c:pt idx="5">
                  <c:v>1.4190799999999999</c:v>
                </c:pt>
                <c:pt idx="6">
                  <c:v>1.38174</c:v>
                </c:pt>
                <c:pt idx="7">
                  <c:v>1.38578</c:v>
                </c:pt>
                <c:pt idx="8">
                  <c:v>1.3700600000000001</c:v>
                </c:pt>
                <c:pt idx="9">
                  <c:v>1.3905799999999999</c:v>
                </c:pt>
                <c:pt idx="10">
                  <c:v>1.3926000000000001</c:v>
                </c:pt>
                <c:pt idx="11">
                  <c:v>1.3925799999999999</c:v>
                </c:pt>
                <c:pt idx="12">
                  <c:v>1.3740600000000001</c:v>
                </c:pt>
                <c:pt idx="13">
                  <c:v>1.3885700000000001</c:v>
                </c:pt>
                <c:pt idx="14">
                  <c:v>1.3717299999999999</c:v>
                </c:pt>
                <c:pt idx="15">
                  <c:v>1.3729</c:v>
                </c:pt>
                <c:pt idx="16">
                  <c:v>1.3855299999999999</c:v>
                </c:pt>
                <c:pt idx="17">
                  <c:v>1.3867700000000001</c:v>
                </c:pt>
                <c:pt idx="18">
                  <c:v>1.3666799999999999</c:v>
                </c:pt>
                <c:pt idx="19">
                  <c:v>1.3939900000000001</c:v>
                </c:pt>
                <c:pt idx="20">
                  <c:v>1.3891899999999999</c:v>
                </c:pt>
                <c:pt idx="21">
                  <c:v>1.3713200000000001</c:v>
                </c:pt>
                <c:pt idx="22">
                  <c:v>1.39923</c:v>
                </c:pt>
                <c:pt idx="23">
                  <c:v>1.3813500000000001</c:v>
                </c:pt>
                <c:pt idx="24">
                  <c:v>1.3706</c:v>
                </c:pt>
                <c:pt idx="25">
                  <c:v>1.3781099999999999</c:v>
                </c:pt>
                <c:pt idx="26">
                  <c:v>1.3512999999999999</c:v>
                </c:pt>
                <c:pt idx="27">
                  <c:v>1.3788400000000001</c:v>
                </c:pt>
                <c:pt idx="28">
                  <c:v>1.3844799999999999</c:v>
                </c:pt>
                <c:pt idx="29">
                  <c:v>1.3718999999999999</c:v>
                </c:pt>
                <c:pt idx="30">
                  <c:v>1.36145</c:v>
                </c:pt>
                <c:pt idx="31">
                  <c:v>1.3681300000000001</c:v>
                </c:pt>
                <c:pt idx="32">
                  <c:v>1.3626499999999999</c:v>
                </c:pt>
                <c:pt idx="33">
                  <c:v>1.3584799999999999</c:v>
                </c:pt>
                <c:pt idx="34">
                  <c:v>1.3658699999999999</c:v>
                </c:pt>
                <c:pt idx="35">
                  <c:v>1.37767</c:v>
                </c:pt>
                <c:pt idx="36">
                  <c:v>1.3692299999999999</c:v>
                </c:pt>
                <c:pt idx="37">
                  <c:v>1.37094</c:v>
                </c:pt>
                <c:pt idx="38">
                  <c:v>1.3688800000000001</c:v>
                </c:pt>
                <c:pt idx="39">
                  <c:v>1.3544799999999999</c:v>
                </c:pt>
                <c:pt idx="40">
                  <c:v>1.3476900000000001</c:v>
                </c:pt>
                <c:pt idx="41">
                  <c:v>1.3657999999999999</c:v>
                </c:pt>
                <c:pt idx="42">
                  <c:v>1.35894</c:v>
                </c:pt>
                <c:pt idx="43">
                  <c:v>1.34439</c:v>
                </c:pt>
                <c:pt idx="44">
                  <c:v>1.3690599999999999</c:v>
                </c:pt>
                <c:pt idx="45">
                  <c:v>1.3468</c:v>
                </c:pt>
                <c:pt idx="46">
                  <c:v>1.3588</c:v>
                </c:pt>
                <c:pt idx="47">
                  <c:v>1.35128</c:v>
                </c:pt>
                <c:pt idx="48">
                  <c:v>1.3393999999999999</c:v>
                </c:pt>
                <c:pt idx="49">
                  <c:v>1.3345800000000001</c:v>
                </c:pt>
                <c:pt idx="50">
                  <c:v>1.3298399999999999</c:v>
                </c:pt>
                <c:pt idx="51">
                  <c:v>1.33788</c:v>
                </c:pt>
                <c:pt idx="52">
                  <c:v>1.3266800000000001</c:v>
                </c:pt>
                <c:pt idx="53">
                  <c:v>1.3391900000000001</c:v>
                </c:pt>
                <c:pt idx="54">
                  <c:v>1.3253900000000001</c:v>
                </c:pt>
                <c:pt idx="55">
                  <c:v>1.3294999999999999</c:v>
                </c:pt>
                <c:pt idx="56">
                  <c:v>1.3274999999999999</c:v>
                </c:pt>
                <c:pt idx="57">
                  <c:v>1.32212</c:v>
                </c:pt>
                <c:pt idx="58">
                  <c:v>1.3186199999999999</c:v>
                </c:pt>
                <c:pt idx="59">
                  <c:v>1.3246500000000001</c:v>
                </c:pt>
                <c:pt idx="60">
                  <c:v>1.3178399999999999</c:v>
                </c:pt>
                <c:pt idx="61">
                  <c:v>1.3119000000000001</c:v>
                </c:pt>
                <c:pt idx="62">
                  <c:v>1.3176099999999999</c:v>
                </c:pt>
                <c:pt idx="63">
                  <c:v>1.3117000000000001</c:v>
                </c:pt>
                <c:pt idx="64">
                  <c:v>1.31301</c:v>
                </c:pt>
                <c:pt idx="65">
                  <c:v>1.30887</c:v>
                </c:pt>
                <c:pt idx="66">
                  <c:v>1.30572</c:v>
                </c:pt>
                <c:pt idx="67">
                  <c:v>1.30284</c:v>
                </c:pt>
                <c:pt idx="68">
                  <c:v>1.30358</c:v>
                </c:pt>
                <c:pt idx="69">
                  <c:v>1.2986800000000001</c:v>
                </c:pt>
                <c:pt idx="70">
                  <c:v>1.2978499999999999</c:v>
                </c:pt>
                <c:pt idx="71">
                  <c:v>1.29949</c:v>
                </c:pt>
                <c:pt idx="72">
                  <c:v>1.29711</c:v>
                </c:pt>
                <c:pt idx="73">
                  <c:v>1.29779</c:v>
                </c:pt>
                <c:pt idx="74">
                  <c:v>1.2939700000000001</c:v>
                </c:pt>
                <c:pt idx="75">
                  <c:v>1.29453</c:v>
                </c:pt>
                <c:pt idx="76">
                  <c:v>1.2936799999999999</c:v>
                </c:pt>
                <c:pt idx="77">
                  <c:v>1.2900100000000001</c:v>
                </c:pt>
                <c:pt idx="78">
                  <c:v>1.2904800000000001</c:v>
                </c:pt>
                <c:pt idx="79">
                  <c:v>1.2914600000000001</c:v>
                </c:pt>
                <c:pt idx="80">
                  <c:v>1.2891999999999999</c:v>
                </c:pt>
                <c:pt idx="81">
                  <c:v>1.28742</c:v>
                </c:pt>
                <c:pt idx="82">
                  <c:v>1.2847299999999999</c:v>
                </c:pt>
                <c:pt idx="83">
                  <c:v>1.2840199999999999</c:v>
                </c:pt>
                <c:pt idx="84">
                  <c:v>1.2842499999999999</c:v>
                </c:pt>
                <c:pt idx="85">
                  <c:v>1.2844199999999999</c:v>
                </c:pt>
                <c:pt idx="86">
                  <c:v>1.2801199999999999</c:v>
                </c:pt>
                <c:pt idx="87">
                  <c:v>1.27946</c:v>
                </c:pt>
                <c:pt idx="88">
                  <c:v>1.2776400000000001</c:v>
                </c:pt>
                <c:pt idx="89">
                  <c:v>1.27508</c:v>
                </c:pt>
                <c:pt idx="90">
                  <c:v>1.27362</c:v>
                </c:pt>
                <c:pt idx="91">
                  <c:v>1.27139</c:v>
                </c:pt>
                <c:pt idx="92">
                  <c:v>1.2694000000000001</c:v>
                </c:pt>
                <c:pt idx="93">
                  <c:v>1.26729</c:v>
                </c:pt>
                <c:pt idx="94">
                  <c:v>1.2662</c:v>
                </c:pt>
                <c:pt idx="95">
                  <c:v>1.2636700000000001</c:v>
                </c:pt>
                <c:pt idx="96">
                  <c:v>1.26071</c:v>
                </c:pt>
                <c:pt idx="97">
                  <c:v>1.25803</c:v>
                </c:pt>
                <c:pt idx="98">
                  <c:v>1.25552</c:v>
                </c:pt>
                <c:pt idx="99">
                  <c:v>1.2524</c:v>
                </c:pt>
                <c:pt idx="100">
                  <c:v>1.2501899999999999</c:v>
                </c:pt>
                <c:pt idx="101">
                  <c:v>1.24691</c:v>
                </c:pt>
                <c:pt idx="102">
                  <c:v>1.2448399999999999</c:v>
                </c:pt>
                <c:pt idx="103">
                  <c:v>1.2412399999999999</c:v>
                </c:pt>
                <c:pt idx="104">
                  <c:v>1.23617</c:v>
                </c:pt>
                <c:pt idx="105">
                  <c:v>1.2319599999999999</c:v>
                </c:pt>
                <c:pt idx="106">
                  <c:v>1.2270399999999999</c:v>
                </c:pt>
                <c:pt idx="107">
                  <c:v>1.22316</c:v>
                </c:pt>
                <c:pt idx="108">
                  <c:v>1.2186699999999999</c:v>
                </c:pt>
                <c:pt idx="109">
                  <c:v>1.21543</c:v>
                </c:pt>
                <c:pt idx="110">
                  <c:v>1.2106600000000001</c:v>
                </c:pt>
                <c:pt idx="111">
                  <c:v>1.2076</c:v>
                </c:pt>
                <c:pt idx="112">
                  <c:v>1.2004900000000001</c:v>
                </c:pt>
                <c:pt idx="113">
                  <c:v>1.1941299999999999</c:v>
                </c:pt>
                <c:pt idx="114">
                  <c:v>1.18875</c:v>
                </c:pt>
                <c:pt idx="115">
                  <c:v>1.1834</c:v>
                </c:pt>
                <c:pt idx="116">
                  <c:v>1.1779999999999999</c:v>
                </c:pt>
                <c:pt idx="117">
                  <c:v>1.1732800000000001</c:v>
                </c:pt>
                <c:pt idx="118">
                  <c:v>1.1691499999999999</c:v>
                </c:pt>
                <c:pt idx="119">
                  <c:v>1.16465</c:v>
                </c:pt>
                <c:pt idx="120">
                  <c:v>1.15683</c:v>
                </c:pt>
                <c:pt idx="121">
                  <c:v>1.14944</c:v>
                </c:pt>
                <c:pt idx="122">
                  <c:v>1.14316</c:v>
                </c:pt>
                <c:pt idx="123">
                  <c:v>1.13734</c:v>
                </c:pt>
                <c:pt idx="124">
                  <c:v>1.1318900000000001</c:v>
                </c:pt>
                <c:pt idx="125">
                  <c:v>1.12734</c:v>
                </c:pt>
                <c:pt idx="126">
                  <c:v>1.12286</c:v>
                </c:pt>
                <c:pt idx="127">
                  <c:v>1.11859</c:v>
                </c:pt>
                <c:pt idx="128">
                  <c:v>1.11104</c:v>
                </c:pt>
                <c:pt idx="129">
                  <c:v>1.1048100000000001</c:v>
                </c:pt>
                <c:pt idx="130">
                  <c:v>1.0989800000000001</c:v>
                </c:pt>
                <c:pt idx="131">
                  <c:v>1.09406</c:v>
                </c:pt>
                <c:pt idx="132">
                  <c:v>1.0897300000000001</c:v>
                </c:pt>
                <c:pt idx="133">
                  <c:v>1.0855600000000001</c:v>
                </c:pt>
                <c:pt idx="134">
                  <c:v>1.08203</c:v>
                </c:pt>
                <c:pt idx="135">
                  <c:v>1.07847</c:v>
                </c:pt>
                <c:pt idx="136">
                  <c:v>1.07213</c:v>
                </c:pt>
                <c:pt idx="137">
                  <c:v>1.06711</c:v>
                </c:pt>
                <c:pt idx="138">
                  <c:v>1.0625800000000001</c:v>
                </c:pt>
                <c:pt idx="139">
                  <c:v>1.0583499999999999</c:v>
                </c:pt>
                <c:pt idx="140">
                  <c:v>1.0540499999999999</c:v>
                </c:pt>
                <c:pt idx="141">
                  <c:v>1.05081</c:v>
                </c:pt>
                <c:pt idx="142">
                  <c:v>1.0479099999999999</c:v>
                </c:pt>
                <c:pt idx="143">
                  <c:v>1.04508</c:v>
                </c:pt>
                <c:pt idx="144">
                  <c:v>1.03993</c:v>
                </c:pt>
                <c:pt idx="145">
                  <c:v>1.03623</c:v>
                </c:pt>
                <c:pt idx="146">
                  <c:v>1.0321499999999999</c:v>
                </c:pt>
                <c:pt idx="147">
                  <c:v>1.0290699999999999</c:v>
                </c:pt>
                <c:pt idx="148">
                  <c:v>1.0263599999999999</c:v>
                </c:pt>
                <c:pt idx="149">
                  <c:v>1.02359</c:v>
                </c:pt>
                <c:pt idx="150">
                  <c:v>1.0225900000000001</c:v>
                </c:pt>
                <c:pt idx="151">
                  <c:v>1.0213399999999999</c:v>
                </c:pt>
                <c:pt idx="152">
                  <c:v>1.01868</c:v>
                </c:pt>
                <c:pt idx="153">
                  <c:v>1.0163</c:v>
                </c:pt>
                <c:pt idx="154">
                  <c:v>1.0145</c:v>
                </c:pt>
                <c:pt idx="155">
                  <c:v>1.01325</c:v>
                </c:pt>
                <c:pt idx="156">
                  <c:v>1.01274</c:v>
                </c:pt>
                <c:pt idx="157">
                  <c:v>1.01213</c:v>
                </c:pt>
                <c:pt idx="158">
                  <c:v>1.01183</c:v>
                </c:pt>
                <c:pt idx="159">
                  <c:v>1.0114099999999999</c:v>
                </c:pt>
                <c:pt idx="160">
                  <c:v>1.0114300000000001</c:v>
                </c:pt>
                <c:pt idx="161">
                  <c:v>1.01023</c:v>
                </c:pt>
                <c:pt idx="162">
                  <c:v>1.0083899999999999</c:v>
                </c:pt>
                <c:pt idx="163">
                  <c:v>1.0080499999999999</c:v>
                </c:pt>
                <c:pt idx="164">
                  <c:v>1.0081599999999999</c:v>
                </c:pt>
                <c:pt idx="165">
                  <c:v>1.0078100000000001</c:v>
                </c:pt>
                <c:pt idx="166">
                  <c:v>1.00682</c:v>
                </c:pt>
                <c:pt idx="167">
                  <c:v>1.0064900000000001</c:v>
                </c:pt>
                <c:pt idx="168">
                  <c:v>1.00441</c:v>
                </c:pt>
                <c:pt idx="169">
                  <c:v>1.00342</c:v>
                </c:pt>
                <c:pt idx="170">
                  <c:v>1.00309</c:v>
                </c:pt>
                <c:pt idx="171">
                  <c:v>1.00383</c:v>
                </c:pt>
                <c:pt idx="172">
                  <c:v>1.0036700000000001</c:v>
                </c:pt>
                <c:pt idx="173">
                  <c:v>1.0035700000000001</c:v>
                </c:pt>
                <c:pt idx="174">
                  <c:v>1.00342</c:v>
                </c:pt>
                <c:pt idx="175">
                  <c:v>1.0036</c:v>
                </c:pt>
                <c:pt idx="176">
                  <c:v>1.0038</c:v>
                </c:pt>
                <c:pt idx="177">
                  <c:v>1.0027200000000001</c:v>
                </c:pt>
                <c:pt idx="178">
                  <c:v>1.00343</c:v>
                </c:pt>
                <c:pt idx="179">
                  <c:v>1.0025599999999999</c:v>
                </c:pt>
                <c:pt idx="180">
                  <c:v>1.00335</c:v>
                </c:pt>
                <c:pt idx="181">
                  <c:v>1.0028999999999999</c:v>
                </c:pt>
                <c:pt idx="182">
                  <c:v>1.00122</c:v>
                </c:pt>
                <c:pt idx="183">
                  <c:v>1.00231</c:v>
                </c:pt>
                <c:pt idx="184">
                  <c:v>1.00326</c:v>
                </c:pt>
                <c:pt idx="185">
                  <c:v>1.0033300000000001</c:v>
                </c:pt>
                <c:pt idx="186">
                  <c:v>1.0024500000000001</c:v>
                </c:pt>
                <c:pt idx="187">
                  <c:v>1.0023200000000001</c:v>
                </c:pt>
                <c:pt idx="188">
                  <c:v>1.0030399999999999</c:v>
                </c:pt>
                <c:pt idx="189">
                  <c:v>1.00258</c:v>
                </c:pt>
                <c:pt idx="190">
                  <c:v>1.0027900000000001</c:v>
                </c:pt>
                <c:pt idx="191">
                  <c:v>1.0033399999999999</c:v>
                </c:pt>
                <c:pt idx="192">
                  <c:v>1.0030600000000001</c:v>
                </c:pt>
                <c:pt idx="193">
                  <c:v>1.00197</c:v>
                </c:pt>
                <c:pt idx="194">
                  <c:v>1.00159</c:v>
                </c:pt>
                <c:pt idx="195">
                  <c:v>1.00265</c:v>
                </c:pt>
                <c:pt idx="196">
                  <c:v>1.00237</c:v>
                </c:pt>
                <c:pt idx="197">
                  <c:v>1.00326</c:v>
                </c:pt>
                <c:pt idx="198">
                  <c:v>1.0027999999999999</c:v>
                </c:pt>
                <c:pt idx="199">
                  <c:v>1.0024999999999999</c:v>
                </c:pt>
                <c:pt idx="200">
                  <c:v>1.00183</c:v>
                </c:pt>
                <c:pt idx="201">
                  <c:v>1.0016799999999999</c:v>
                </c:pt>
                <c:pt idx="202">
                  <c:v>1.0024900000000001</c:v>
                </c:pt>
                <c:pt idx="203">
                  <c:v>1.00204</c:v>
                </c:pt>
                <c:pt idx="204">
                  <c:v>1.0016499999999999</c:v>
                </c:pt>
                <c:pt idx="205">
                  <c:v>1.0022899999999999</c:v>
                </c:pt>
                <c:pt idx="206">
                  <c:v>1.0022500000000001</c:v>
                </c:pt>
                <c:pt idx="207">
                  <c:v>1.0012399999999999</c:v>
                </c:pt>
                <c:pt idx="208">
                  <c:v>1.0018400000000001</c:v>
                </c:pt>
                <c:pt idx="209">
                  <c:v>1.00163</c:v>
                </c:pt>
                <c:pt idx="210">
                  <c:v>1.00248</c:v>
                </c:pt>
                <c:pt idx="211">
                  <c:v>1.0021500000000001</c:v>
                </c:pt>
                <c:pt idx="212">
                  <c:v>1.0029300000000001</c:v>
                </c:pt>
                <c:pt idx="213">
                  <c:v>1.00197</c:v>
                </c:pt>
                <c:pt idx="214">
                  <c:v>1.0017100000000001</c:v>
                </c:pt>
                <c:pt idx="215">
                  <c:v>1.0018899999999999</c:v>
                </c:pt>
                <c:pt idx="216">
                  <c:v>1.0016</c:v>
                </c:pt>
                <c:pt idx="217">
                  <c:v>1.0015499999999999</c:v>
                </c:pt>
                <c:pt idx="218">
                  <c:v>1.0019199999999999</c:v>
                </c:pt>
                <c:pt idx="219">
                  <c:v>1.00227</c:v>
                </c:pt>
                <c:pt idx="220">
                  <c:v>1.00241</c:v>
                </c:pt>
                <c:pt idx="221">
                  <c:v>1.0026600000000001</c:v>
                </c:pt>
                <c:pt idx="222">
                  <c:v>1.0026299999999999</c:v>
                </c:pt>
                <c:pt idx="223">
                  <c:v>1.0018</c:v>
                </c:pt>
                <c:pt idx="224">
                  <c:v>1.00238</c:v>
                </c:pt>
                <c:pt idx="225">
                  <c:v>1.0021100000000001</c:v>
                </c:pt>
                <c:pt idx="226">
                  <c:v>1.00146</c:v>
                </c:pt>
                <c:pt idx="227">
                  <c:v>1.00163</c:v>
                </c:pt>
                <c:pt idx="228">
                  <c:v>1.0014700000000001</c:v>
                </c:pt>
                <c:pt idx="229">
                  <c:v>1.00193</c:v>
                </c:pt>
                <c:pt idx="230">
                  <c:v>1.0020199999999999</c:v>
                </c:pt>
                <c:pt idx="231">
                  <c:v>1.00135</c:v>
                </c:pt>
                <c:pt idx="232">
                  <c:v>1.00136</c:v>
                </c:pt>
                <c:pt idx="233">
                  <c:v>1.0000800000000001</c:v>
                </c:pt>
                <c:pt idx="234">
                  <c:v>0.99975599999999998</c:v>
                </c:pt>
                <c:pt idx="235">
                  <c:v>1.0001</c:v>
                </c:pt>
                <c:pt idx="236">
                  <c:v>0.99988500000000002</c:v>
                </c:pt>
                <c:pt idx="237">
                  <c:v>0.99907100000000004</c:v>
                </c:pt>
                <c:pt idx="238">
                  <c:v>0.998892</c:v>
                </c:pt>
                <c:pt idx="239">
                  <c:v>0.99989300000000003</c:v>
                </c:pt>
                <c:pt idx="240">
                  <c:v>0.99910399999999999</c:v>
                </c:pt>
                <c:pt idx="241">
                  <c:v>0.99978900000000004</c:v>
                </c:pt>
                <c:pt idx="242">
                  <c:v>0.99895699999999998</c:v>
                </c:pt>
                <c:pt idx="243">
                  <c:v>0.99945700000000004</c:v>
                </c:pt>
                <c:pt idx="244">
                  <c:v>0.99356999999999995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E43-465D-8B9B-6FEDDD1ACB24}"/>
            </c:ext>
          </c:extLst>
        </c:ser>
        <c:ser>
          <c:idx val="1"/>
          <c:order val="1"/>
          <c:tx>
            <c:strRef>
              <c:f>'1_EGFP'!$E$1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'1_EGFP'!$A$3:$A$252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'1_EGFP'!$E$3:$E$200</c:f>
              <c:numCache>
                <c:formatCode>General</c:formatCode>
                <c:ptCount val="198"/>
                <c:pt idx="0">
                  <c:v>1.4553913886678616</c:v>
                </c:pt>
                <c:pt idx="1">
                  <c:v>1.4383511133858065</c:v>
                </c:pt>
                <c:pt idx="2">
                  <c:v>1.4250470991929998</c:v>
                </c:pt>
                <c:pt idx="3">
                  <c:v>1.414653685325284</c:v>
                </c:pt>
                <c:pt idx="4">
                  <c:v>1.4065276803506697</c:v>
                </c:pt>
                <c:pt idx="5">
                  <c:v>1.4001680368062825</c:v>
                </c:pt>
                <c:pt idx="6">
                  <c:v>1.3951844376611588</c:v>
                </c:pt>
                <c:pt idx="7">
                  <c:v>1.3912728251089153</c:v>
                </c:pt>
                <c:pt idx="8">
                  <c:v>1.3881963374490618</c:v>
                </c:pt>
                <c:pt idx="9">
                  <c:v>1.385770458880013</c:v>
                </c:pt>
                <c:pt idx="10">
                  <c:v>1.3838514511586042</c:v>
                </c:pt>
                <c:pt idx="11">
                  <c:v>1.3823273418400819</c:v>
                </c:pt>
                <c:pt idx="12">
                  <c:v>1.3811109040993101</c:v>
                </c:pt>
                <c:pt idx="13">
                  <c:v>1.3801341879976685</c:v>
                </c:pt>
                <c:pt idx="14">
                  <c:v>1.3793442603291999</c:v>
                </c:pt>
                <c:pt idx="15">
                  <c:v>1.3781689425409667</c:v>
                </c:pt>
                <c:pt idx="16">
                  <c:v>1.3773527849725173</c:v>
                </c:pt>
                <c:pt idx="17">
                  <c:v>1.37675489821881</c:v>
                </c:pt>
                <c:pt idx="18">
                  <c:v>1.3762897833937102</c:v>
                </c:pt>
                <c:pt idx="19">
                  <c:v>1.3759055550219839</c:v>
                </c:pt>
                <c:pt idx="20">
                  <c:v>1.3755707257304779</c:v>
                </c:pt>
                <c:pt idx="21">
                  <c:v>1.3752661866163431</c:v>
                </c:pt>
                <c:pt idx="22">
                  <c:v>1.3749803405810563</c:v>
                </c:pt>
                <c:pt idx="23">
                  <c:v>1.3744393396405183</c:v>
                </c:pt>
                <c:pt idx="24">
                  <c:v>1.3739185117794575</c:v>
                </c:pt>
                <c:pt idx="25">
                  <c:v>1.3734070873526962</c:v>
                </c:pt>
                <c:pt idx="26">
                  <c:v>1.3729010880478765</c:v>
                </c:pt>
                <c:pt idx="27">
                  <c:v>1.372399036603444</c:v>
                </c:pt>
                <c:pt idx="28">
                  <c:v>1.371900376870101</c:v>
                </c:pt>
                <c:pt idx="29">
                  <c:v>1.3714048919826005</c:v>
                </c:pt>
                <c:pt idx="30">
                  <c:v>1.3709124900953831</c:v>
                </c:pt>
                <c:pt idx="31">
                  <c:v>1.3699367694528264</c:v>
                </c:pt>
                <c:pt idx="32">
                  <c:v>1.3689729963174848</c:v>
                </c:pt>
                <c:pt idx="33">
                  <c:v>1.368021013292003</c:v>
                </c:pt>
                <c:pt idx="34">
                  <c:v>1.3670806728674108</c:v>
                </c:pt>
                <c:pt idx="35">
                  <c:v>1.366151830441082</c:v>
                </c:pt>
                <c:pt idx="36">
                  <c:v>1.3652343433504401</c:v>
                </c:pt>
                <c:pt idx="37">
                  <c:v>1.3643280707227348</c:v>
                </c:pt>
                <c:pt idx="38">
                  <c:v>1.3634328734357255</c:v>
                </c:pt>
                <c:pt idx="39">
                  <c:v>1.3616751570054531</c:v>
                </c:pt>
                <c:pt idx="40">
                  <c:v>1.3599601152234317</c:v>
                </c:pt>
                <c:pt idx="41">
                  <c:v>1.3582866958579742</c:v>
                </c:pt>
                <c:pt idx="42">
                  <c:v>1.3566538726257336</c:v>
                </c:pt>
                <c:pt idx="43">
                  <c:v>1.3550606445517972</c:v>
                </c:pt>
                <c:pt idx="44">
                  <c:v>1.3535060353455644</c:v>
                </c:pt>
                <c:pt idx="45">
                  <c:v>1.3519890927920164</c:v>
                </c:pt>
                <c:pt idx="46">
                  <c:v>1.3505088881579961</c:v>
                </c:pt>
                <c:pt idx="47">
                  <c:v>1.3476550916650352</c:v>
                </c:pt>
                <c:pt idx="48">
                  <c:v>1.3449376639879247</c:v>
                </c:pt>
                <c:pt idx="49">
                  <c:v>1.3423499633512863</c:v>
                </c:pt>
                <c:pt idx="50">
                  <c:v>1.3398856715156495</c:v>
                </c:pt>
                <c:pt idx="51">
                  <c:v>1.3375387780170493</c:v>
                </c:pt>
                <c:pt idx="52">
                  <c:v>1.3353035651743648</c:v>
                </c:pt>
                <c:pt idx="53">
                  <c:v>1.3331745938270103</c:v>
                </c:pt>
                <c:pt idx="54">
                  <c:v>1.33114668976739</c:v>
                </c:pt>
                <c:pt idx="55">
                  <c:v>1.3273746346349373</c:v>
                </c:pt>
                <c:pt idx="56">
                  <c:v>1.3239508301991649</c:v>
                </c:pt>
                <c:pt idx="57">
                  <c:v>1.3208421828592334</c:v>
                </c:pt>
                <c:pt idx="58">
                  <c:v>1.3180187445909961</c:v>
                </c:pt>
                <c:pt idx="59">
                  <c:v>1.3154534139524725</c:v>
                </c:pt>
                <c:pt idx="60">
                  <c:v>1.3131216655098281</c:v>
                </c:pt>
                <c:pt idx="61">
                  <c:v>1.3110013049823528</c:v>
                </c:pt>
                <c:pt idx="62">
                  <c:v>1.3090722476617296</c:v>
                </c:pt>
                <c:pt idx="63">
                  <c:v>1.305717067617032</c:v>
                </c:pt>
                <c:pt idx="64">
                  <c:v>1.3029304816203013</c:v>
                </c:pt>
                <c:pt idx="65">
                  <c:v>1.300609595572026</c:v>
                </c:pt>
                <c:pt idx="66">
                  <c:v>1.2986701457977645</c:v>
                </c:pt>
                <c:pt idx="67">
                  <c:v>1.2970431256861752</c:v>
                </c:pt>
                <c:pt idx="68">
                  <c:v>1.2956720231399252</c:v>
                </c:pt>
                <c:pt idx="69">
                  <c:v>1.2945105582386225</c:v>
                </c:pt>
                <c:pt idx="70">
                  <c:v>1.2935208305398287</c:v>
                </c:pt>
                <c:pt idx="71">
                  <c:v>1.2919380536857583</c:v>
                </c:pt>
                <c:pt idx="72">
                  <c:v>1.2907369027991034</c:v>
                </c:pt>
                <c:pt idx="73">
                  <c:v>1.2897921036631939</c:v>
                </c:pt>
                <c:pt idx="74">
                  <c:v>1.2890196379064391</c:v>
                </c:pt>
                <c:pt idx="75">
                  <c:v>1.288363155745472</c:v>
                </c:pt>
                <c:pt idx="76">
                  <c:v>1.2877848636187594</c:v>
                </c:pt>
                <c:pt idx="77">
                  <c:v>1.2872594129157306</c:v>
                </c:pt>
                <c:pt idx="78">
                  <c:v>1.286769801401995</c:v>
                </c:pt>
                <c:pt idx="79">
                  <c:v>1.2858562316583197</c:v>
                </c:pt>
                <c:pt idx="80">
                  <c:v>1.2849909563410065</c:v>
                </c:pt>
                <c:pt idx="81">
                  <c:v>1.2841500240220591</c:v>
                </c:pt>
                <c:pt idx="82">
                  <c:v>1.2833226386262435</c:v>
                </c:pt>
                <c:pt idx="83">
                  <c:v>1.2825039216485814</c:v>
                </c:pt>
                <c:pt idx="84">
                  <c:v>1.2816916566004535</c:v>
                </c:pt>
                <c:pt idx="85">
                  <c:v>1.2808848246471209</c:v>
                </c:pt>
                <c:pt idx="86">
                  <c:v>1.2800829459234324</c:v>
                </c:pt>
                <c:pt idx="87">
                  <c:v>1.2784932088398469</c:v>
                </c:pt>
                <c:pt idx="88">
                  <c:v>1.2769215340055686</c:v>
                </c:pt>
                <c:pt idx="89">
                  <c:v>1.2753674984069332</c:v>
                </c:pt>
                <c:pt idx="90">
                  <c:v>1.2738307831506288</c:v>
                </c:pt>
                <c:pt idx="91">
                  <c:v>1.2723110955731511</c:v>
                </c:pt>
                <c:pt idx="92">
                  <c:v>1.2708081533374553</c:v>
                </c:pt>
                <c:pt idx="93">
                  <c:v>1.2693216810775065</c:v>
                </c:pt>
                <c:pt idx="94">
                  <c:v>1.2678514095864835</c:v>
                </c:pt>
                <c:pt idx="95">
                  <c:v>1.2649584212327492</c:v>
                </c:pt>
                <c:pt idx="96">
                  <c:v>1.2621271488129417</c:v>
                </c:pt>
                <c:pt idx="97">
                  <c:v>1.2593556389449119</c:v>
                </c:pt>
                <c:pt idx="98">
                  <c:v>1.2566420198214845</c:v>
                </c:pt>
                <c:pt idx="99">
                  <c:v>1.2539844969956642</c:v>
                </c:pt>
                <c:pt idx="100">
                  <c:v>1.2513813494249486</c:v>
                </c:pt>
                <c:pt idx="101">
                  <c:v>1.2488309257559265</c:v>
                </c:pt>
                <c:pt idx="102">
                  <c:v>1.2463316408322829</c:v>
                </c:pt>
                <c:pt idx="103">
                  <c:v>1.2414804580703134</c:v>
                </c:pt>
                <c:pt idx="104">
                  <c:v>1.2368163237697984</c:v>
                </c:pt>
                <c:pt idx="105">
                  <c:v>1.2323286285464965</c:v>
                </c:pt>
                <c:pt idx="106">
                  <c:v>1.2280075504711729</c:v>
                </c:pt>
                <c:pt idx="107">
                  <c:v>1.2238439833419783</c:v>
                </c:pt>
                <c:pt idx="108">
                  <c:v>1.2198294726567747</c:v>
                </c:pt>
                <c:pt idx="109">
                  <c:v>1.2159561583380043</c:v>
                </c:pt>
                <c:pt idx="110">
                  <c:v>1.2122167233936256</c:v>
                </c:pt>
                <c:pt idx="111">
                  <c:v>1.2051126670551873</c:v>
                </c:pt>
                <c:pt idx="112">
                  <c:v>1.1984679885894736</c:v>
                </c:pt>
                <c:pt idx="113">
                  <c:v>1.1922395477463734</c:v>
                </c:pt>
                <c:pt idx="114">
                  <c:v>1.186389441968619</c:v>
                </c:pt>
                <c:pt idx="115">
                  <c:v>1.1808842349179203</c:v>
                </c:pt>
                <c:pt idx="116">
                  <c:v>1.1756943174580634</c:v>
                </c:pt>
                <c:pt idx="117">
                  <c:v>1.1707933753007658</c:v>
                </c:pt>
                <c:pt idx="118">
                  <c:v>1.1661579431053697</c:v>
                </c:pt>
                <c:pt idx="119">
                  <c:v>1.1576017974398685</c:v>
                </c:pt>
                <c:pt idx="120">
                  <c:v>1.1498822384169392</c:v>
                </c:pt>
                <c:pt idx="121">
                  <c:v>1.142882381726966</c:v>
                </c:pt>
                <c:pt idx="122">
                  <c:v>1.1365061474898248</c:v>
                </c:pt>
                <c:pt idx="123">
                  <c:v>1.1306738286901048</c:v>
                </c:pt>
                <c:pt idx="124">
                  <c:v>1.1253187460904748</c:v>
                </c:pt>
                <c:pt idx="125">
                  <c:v>1.1203846910582598</c:v>
                </c:pt>
                <c:pt idx="126">
                  <c:v>1.1158239479650083</c:v>
                </c:pt>
                <c:pt idx="127">
                  <c:v>1.1076650516213931</c:v>
                </c:pt>
                <c:pt idx="128">
                  <c:v>1.100578999918711</c:v>
                </c:pt>
                <c:pt idx="129">
                  <c:v>1.0943675424616348</c:v>
                </c:pt>
                <c:pt idx="130">
                  <c:v>1.0888784363202415</c:v>
                </c:pt>
                <c:pt idx="131">
                  <c:v>1.0839928319091907</c:v>
                </c:pt>
                <c:pt idx="132">
                  <c:v>1.0796165932994728</c:v>
                </c:pt>
                <c:pt idx="133">
                  <c:v>1.0756741920049293</c:v>
                </c:pt>
                <c:pt idx="134">
                  <c:v>1.0721043259719467</c:v>
                </c:pt>
                <c:pt idx="135">
                  <c:v>1.0658897562577678</c:v>
                </c:pt>
                <c:pt idx="136">
                  <c:v>1.0606642554214123</c:v>
                </c:pt>
                <c:pt idx="137">
                  <c:v>1.0562098493184031</c:v>
                </c:pt>
                <c:pt idx="138">
                  <c:v>1.0523682109436288</c:v>
                </c:pt>
                <c:pt idx="139">
                  <c:v>1.0490215649913794</c:v>
                </c:pt>
                <c:pt idx="140">
                  <c:v>1.0460804868062956</c:v>
                </c:pt>
                <c:pt idx="141">
                  <c:v>1.0434758564783824</c:v>
                </c:pt>
                <c:pt idx="142">
                  <c:v>1.041153405850948</c:v>
                </c:pt>
                <c:pt idx="143">
                  <c:v>1.0371906198181011</c:v>
                </c:pt>
                <c:pt idx="144">
                  <c:v>1.0339359897001856</c:v>
                </c:pt>
                <c:pt idx="145">
                  <c:v>1.0312166307796542</c:v>
                </c:pt>
                <c:pt idx="146">
                  <c:v>1.0289116341538886</c:v>
                </c:pt>
                <c:pt idx="147">
                  <c:v>1.0269339038395837</c:v>
                </c:pt>
                <c:pt idx="148">
                  <c:v>1.0252191124303771</c:v>
                </c:pt>
                <c:pt idx="149">
                  <c:v>1.0237187199615612</c:v>
                </c:pt>
                <c:pt idx="150">
                  <c:v>1.0223954127686778</c:v>
                </c:pt>
                <c:pt idx="151">
                  <c:v>1.0201694856890924</c:v>
                </c:pt>
                <c:pt idx="152">
                  <c:v>1.0183721433961295</c:v>
                </c:pt>
                <c:pt idx="153">
                  <c:v>1.0168923471102629</c:v>
                </c:pt>
                <c:pt idx="154">
                  <c:v>1.0156542219748854</c:v>
                </c:pt>
                <c:pt idx="155">
                  <c:v>1.0146041732708848</c:v>
                </c:pt>
                <c:pt idx="156">
                  <c:v>1.0137032786595441</c:v>
                </c:pt>
                <c:pt idx="157">
                  <c:v>1.0129225970920883</c:v>
                </c:pt>
                <c:pt idx="158">
                  <c:v>1.0122401683704039</c:v>
                </c:pt>
                <c:pt idx="159">
                  <c:v>1.0111058888921041</c:v>
                </c:pt>
                <c:pt idx="160">
                  <c:v>1.0102033315759487</c:v>
                </c:pt>
                <c:pt idx="161">
                  <c:v>1.0094699045641795</c:v>
                </c:pt>
                <c:pt idx="162">
                  <c:v>1.0088634930702272</c:v>
                </c:pt>
                <c:pt idx="163">
                  <c:v>1.0083547486149789</c:v>
                </c:pt>
                <c:pt idx="164">
                  <c:v>1.0079226130805246</c:v>
                </c:pt>
                <c:pt idx="165">
                  <c:v>1.007551598928635</c:v>
                </c:pt>
                <c:pt idx="166">
                  <c:v>1.0072300717719131</c:v>
                </c:pt>
                <c:pt idx="167">
                  <c:v>1.0067018512707568</c:v>
                </c:pt>
                <c:pt idx="168">
                  <c:v>1.006287548628233</c:v>
                </c:pt>
                <c:pt idx="169">
                  <c:v>1.0059551849490973</c:v>
                </c:pt>
                <c:pt idx="170">
                  <c:v>1.0056835465573517</c:v>
                </c:pt>
                <c:pt idx="171">
                  <c:v>1.0054580403877387</c:v>
                </c:pt>
                <c:pt idx="172">
                  <c:v>1.005268319607509</c:v>
                </c:pt>
                <c:pt idx="173">
                  <c:v>1.0051068580078568</c:v>
                </c:pt>
                <c:pt idx="174">
                  <c:v>1.0049680596660575</c:v>
                </c:pt>
                <c:pt idx="175">
                  <c:v>1.0047424631334878</c:v>
                </c:pt>
                <c:pt idx="176">
                  <c:v>1.0045677957847889</c:v>
                </c:pt>
                <c:pt idx="177">
                  <c:v>1.0044292435196731</c:v>
                </c:pt>
                <c:pt idx="178">
                  <c:v>1.0043171214483806</c:v>
                </c:pt>
                <c:pt idx="179">
                  <c:v>1.0042248538978977</c:v>
                </c:pt>
                <c:pt idx="180">
                  <c:v>1.0041478333534608</c:v>
                </c:pt>
                <c:pt idx="181">
                  <c:v>1.0040827441208653</c:v>
                </c:pt>
                <c:pt idx="182">
                  <c:v>1.0040271449111322</c:v>
                </c:pt>
                <c:pt idx="183">
                  <c:v>1.0039375147220706</c:v>
                </c:pt>
                <c:pt idx="184">
                  <c:v>1.0038687874422665</c:v>
                </c:pt>
                <c:pt idx="185">
                  <c:v>1.0038147153577817</c:v>
                </c:pt>
                <c:pt idx="186">
                  <c:v>1.0037712643173735</c:v>
                </c:pt>
                <c:pt idx="187">
                  <c:v>1.0037357246375669</c:v>
                </c:pt>
                <c:pt idx="188">
                  <c:v>1.0037062155154028</c:v>
                </c:pt>
                <c:pt idx="189">
                  <c:v>1.0036813947246679</c:v>
                </c:pt>
                <c:pt idx="190">
                  <c:v>1.0036602813240643</c:v>
                </c:pt>
                <c:pt idx="191">
                  <c:v>1.0036264251954721</c:v>
                </c:pt>
                <c:pt idx="192">
                  <c:v>1.0036006240520849</c:v>
                </c:pt>
                <c:pt idx="193">
                  <c:v>1.0035804280198986</c:v>
                </c:pt>
                <c:pt idx="194">
                  <c:v>1.003564268640335</c:v>
                </c:pt>
                <c:pt idx="195">
                  <c:v>1.003551099977376</c:v>
                </c:pt>
                <c:pt idx="196">
                  <c:v>1.0035402005234726</c:v>
                </c:pt>
                <c:pt idx="197">
                  <c:v>1.0035310581364991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E43-465D-8B9B-6FEDDD1AC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73536"/>
        <c:axId val="156675072"/>
      </c:scatterChart>
      <c:valAx>
        <c:axId val="156673536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675072"/>
        <c:crosses val="autoZero"/>
        <c:crossBetween val="midCat"/>
      </c:valAx>
      <c:valAx>
        <c:axId val="156675072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673536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865728336706796"/>
          <c:y val="7.1583552055992997E-2"/>
          <c:w val="0.12089574241555612"/>
          <c:h val="0.10412155147273257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675081286480982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'1_EGFP'!$F$1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'1_EGFP'!$A$2:$A$235</c:f>
              <c:numCache>
                <c:formatCode>General</c:formatCode>
                <c:ptCount val="234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</c:numCache>
            </c:numRef>
          </c:xVal>
          <c:yVal>
            <c:numRef>
              <c:f>'1_EGFP'!$F$2:$F$200</c:f>
              <c:numCache>
                <c:formatCode>General</c:formatCode>
                <c:ptCount val="199"/>
                <c:pt idx="0">
                  <c:v>-0.11444782055415903</c:v>
                </c:pt>
                <c:pt idx="1">
                  <c:v>-5.3513886678615563E-3</c:v>
                </c:pt>
                <c:pt idx="2">
                  <c:v>2.8688866141934888E-3</c:v>
                </c:pt>
                <c:pt idx="3">
                  <c:v>-1.0357099192999764E-2</c:v>
                </c:pt>
                <c:pt idx="4">
                  <c:v>3.0586314674716064E-2</c:v>
                </c:pt>
                <c:pt idx="5">
                  <c:v>1.2552319649330235E-2</c:v>
                </c:pt>
                <c:pt idx="6">
                  <c:v>-1.8428036806282577E-2</c:v>
                </c:pt>
                <c:pt idx="7">
                  <c:v>-9.4044376611588376E-3</c:v>
                </c:pt>
                <c:pt idx="8">
                  <c:v>-2.1212825108915201E-2</c:v>
                </c:pt>
                <c:pt idx="9">
                  <c:v>2.3836625509381371E-3</c:v>
                </c:pt>
                <c:pt idx="10">
                  <c:v>6.8295411199870149E-3</c:v>
                </c:pt>
                <c:pt idx="11">
                  <c:v>8.7285488413957335E-3</c:v>
                </c:pt>
                <c:pt idx="12">
                  <c:v>-8.267341840081821E-3</c:v>
                </c:pt>
                <c:pt idx="13">
                  <c:v>7.4590959006899382E-3</c:v>
                </c:pt>
                <c:pt idx="14">
                  <c:v>-8.4041879976686218E-3</c:v>
                </c:pt>
                <c:pt idx="15">
                  <c:v>-6.444260329199869E-3</c:v>
                </c:pt>
                <c:pt idx="16">
                  <c:v>7.36105745903326E-3</c:v>
                </c:pt>
                <c:pt idx="17">
                  <c:v>9.4172150274827171E-3</c:v>
                </c:pt>
                <c:pt idx="18">
                  <c:v>-1.0074898218810135E-2</c:v>
                </c:pt>
                <c:pt idx="19">
                  <c:v>1.7700216606289843E-2</c:v>
                </c:pt>
                <c:pt idx="20">
                  <c:v>1.3284444978016063E-2</c:v>
                </c:pt>
                <c:pt idx="21">
                  <c:v>-4.2507257304778001E-3</c:v>
                </c:pt>
                <c:pt idx="22">
                  <c:v>2.3963813383656829E-2</c:v>
                </c:pt>
                <c:pt idx="23">
                  <c:v>6.3696594189437405E-3</c:v>
                </c:pt>
                <c:pt idx="24">
                  <c:v>-3.8393396405183022E-3</c:v>
                </c:pt>
                <c:pt idx="25">
                  <c:v>4.1914882205424941E-3</c:v>
                </c:pt>
                <c:pt idx="26">
                  <c:v>-2.2107087352696286E-2</c:v>
                </c:pt>
                <c:pt idx="27">
                  <c:v>5.9389119521235934E-3</c:v>
                </c:pt>
                <c:pt idx="28">
                  <c:v>1.2080963396555955E-2</c:v>
                </c:pt>
                <c:pt idx="29">
                  <c:v>-3.7687010112641417E-7</c:v>
                </c:pt>
                <c:pt idx="30">
                  <c:v>-9.9548919826004667E-3</c:v>
                </c:pt>
                <c:pt idx="31">
                  <c:v>-2.7824900953830056E-3</c:v>
                </c:pt>
                <c:pt idx="32">
                  <c:v>-7.2867694528264693E-3</c:v>
                </c:pt>
                <c:pt idx="33">
                  <c:v>-1.0492996317484904E-2</c:v>
                </c:pt>
                <c:pt idx="34">
                  <c:v>-2.1510132920030678E-3</c:v>
                </c:pt>
                <c:pt idx="35">
                  <c:v>1.0589327132589199E-2</c:v>
                </c:pt>
                <c:pt idx="36">
                  <c:v>3.0781695589179314E-3</c:v>
                </c:pt>
                <c:pt idx="37">
                  <c:v>5.7056566495599093E-3</c:v>
                </c:pt>
                <c:pt idx="38">
                  <c:v>4.5519292772653319E-3</c:v>
                </c:pt>
                <c:pt idx="39">
                  <c:v>-8.9528734357255946E-3</c:v>
                </c:pt>
                <c:pt idx="40">
                  <c:v>-1.3985157005452997E-2</c:v>
                </c:pt>
                <c:pt idx="41">
                  <c:v>5.8398847765681605E-3</c:v>
                </c:pt>
                <c:pt idx="42">
                  <c:v>6.5330414202580123E-4</c:v>
                </c:pt>
                <c:pt idx="43">
                  <c:v>-1.2263872625733585E-2</c:v>
                </c:pt>
                <c:pt idx="44">
                  <c:v>1.3999355448202744E-2</c:v>
                </c:pt>
                <c:pt idx="45">
                  <c:v>-6.706035345564354E-3</c:v>
                </c:pt>
                <c:pt idx="46">
                  <c:v>6.8109072079836075E-3</c:v>
                </c:pt>
                <c:pt idx="47">
                  <c:v>7.7111184200395755E-4</c:v>
                </c:pt>
                <c:pt idx="48">
                  <c:v>-8.2550916650352413E-3</c:v>
                </c:pt>
                <c:pt idx="49">
                  <c:v>-1.0357663987924592E-2</c:v>
                </c:pt>
                <c:pt idx="50">
                  <c:v>-1.2509963351286402E-2</c:v>
                </c:pt>
                <c:pt idx="51">
                  <c:v>-2.0056715156495653E-3</c:v>
                </c:pt>
                <c:pt idx="52">
                  <c:v>-1.0858778017049264E-2</c:v>
                </c:pt>
                <c:pt idx="53">
                  <c:v>3.886434825635332E-3</c:v>
                </c:pt>
                <c:pt idx="54">
                  <c:v>-7.7845938270102444E-3</c:v>
                </c:pt>
                <c:pt idx="55">
                  <c:v>-1.6466897673901304E-3</c:v>
                </c:pt>
                <c:pt idx="56">
                  <c:v>1.2536536506257967E-4</c:v>
                </c:pt>
                <c:pt idx="57">
                  <c:v>-1.8308301991649678E-3</c:v>
                </c:pt>
                <c:pt idx="58">
                  <c:v>-2.2221828592334791E-3</c:v>
                </c:pt>
                <c:pt idx="59">
                  <c:v>6.6312554090039999E-3</c:v>
                </c:pt>
                <c:pt idx="60">
                  <c:v>2.3865860475273948E-3</c:v>
                </c:pt>
                <c:pt idx="61">
                  <c:v>-1.2216655098280516E-3</c:v>
                </c:pt>
                <c:pt idx="62">
                  <c:v>6.6086950176471593E-3</c:v>
                </c:pt>
                <c:pt idx="63">
                  <c:v>2.6277523382705059E-3</c:v>
                </c:pt>
                <c:pt idx="64">
                  <c:v>7.2929323829680204E-3</c:v>
                </c:pt>
                <c:pt idx="65">
                  <c:v>5.9395183796986384E-3</c:v>
                </c:pt>
                <c:pt idx="66">
                  <c:v>5.1104044279739469E-3</c:v>
                </c:pt>
                <c:pt idx="67">
                  <c:v>4.169854202235479E-3</c:v>
                </c:pt>
                <c:pt idx="68">
                  <c:v>6.5368743138247698E-3</c:v>
                </c:pt>
                <c:pt idx="69">
                  <c:v>3.0079768600748125E-3</c:v>
                </c:pt>
                <c:pt idx="70">
                  <c:v>3.3394417613774596E-3</c:v>
                </c:pt>
                <c:pt idx="71">
                  <c:v>5.9691694601713419E-3</c:v>
                </c:pt>
                <c:pt idx="72">
                  <c:v>5.1719463142416711E-3</c:v>
                </c:pt>
                <c:pt idx="73">
                  <c:v>7.0530972008966408E-3</c:v>
                </c:pt>
                <c:pt idx="74">
                  <c:v>4.1778963368062083E-3</c:v>
                </c:pt>
                <c:pt idx="75">
                  <c:v>5.5103620935608166E-3</c:v>
                </c:pt>
                <c:pt idx="76">
                  <c:v>5.3168442545279415E-3</c:v>
                </c:pt>
                <c:pt idx="77">
                  <c:v>2.2251363812406666E-3</c:v>
                </c:pt>
                <c:pt idx="78">
                  <c:v>3.2205870842694218E-3</c:v>
                </c:pt>
                <c:pt idx="79">
                  <c:v>4.6901985980050132E-3</c:v>
                </c:pt>
                <c:pt idx="80">
                  <c:v>3.3437683416801534E-3</c:v>
                </c:pt>
                <c:pt idx="81">
                  <c:v>2.429043658993546E-3</c:v>
                </c:pt>
                <c:pt idx="82">
                  <c:v>5.7997597794079425E-4</c:v>
                </c:pt>
                <c:pt idx="83">
                  <c:v>6.9736137375642215E-4</c:v>
                </c:pt>
                <c:pt idx="84">
                  <c:v>1.7460783514184897E-3</c:v>
                </c:pt>
                <c:pt idx="85">
                  <c:v>2.7283433995464179E-3</c:v>
                </c:pt>
                <c:pt idx="86">
                  <c:v>-7.6482464712102072E-4</c:v>
                </c:pt>
                <c:pt idx="87">
                  <c:v>-6.2294592343237198E-4</c:v>
                </c:pt>
                <c:pt idx="88">
                  <c:v>-8.532088398467419E-4</c:v>
                </c:pt>
                <c:pt idx="89">
                  <c:v>-1.8415340055686347E-3</c:v>
                </c:pt>
                <c:pt idx="90">
                  <c:v>-1.7474984069332233E-3</c:v>
                </c:pt>
                <c:pt idx="91">
                  <c:v>-2.4407831506287891E-3</c:v>
                </c:pt>
                <c:pt idx="92">
                  <c:v>-2.9110955731510568E-3</c:v>
                </c:pt>
                <c:pt idx="93">
                  <c:v>-3.5181533374553098E-3</c:v>
                </c:pt>
                <c:pt idx="94">
                  <c:v>-3.121681077506544E-3</c:v>
                </c:pt>
                <c:pt idx="95">
                  <c:v>-4.1814095864833867E-3</c:v>
                </c:pt>
                <c:pt idx="96">
                  <c:v>-4.2484212327491555E-3</c:v>
                </c:pt>
                <c:pt idx="97">
                  <c:v>-4.0971488129417644E-3</c:v>
                </c:pt>
                <c:pt idx="98">
                  <c:v>-3.835638944911901E-3</c:v>
                </c:pt>
                <c:pt idx="99">
                  <c:v>-4.2420198214845328E-3</c:v>
                </c:pt>
                <c:pt idx="100">
                  <c:v>-3.7944969956642538E-3</c:v>
                </c:pt>
                <c:pt idx="101">
                  <c:v>-4.4713494249486452E-3</c:v>
                </c:pt>
                <c:pt idx="102">
                  <c:v>-3.9909257559265221E-3</c:v>
                </c:pt>
                <c:pt idx="103">
                  <c:v>-5.0916408322829732E-3</c:v>
                </c:pt>
                <c:pt idx="104">
                  <c:v>-5.3104580703133841E-3</c:v>
                </c:pt>
                <c:pt idx="105">
                  <c:v>-4.8563237697984984E-3</c:v>
                </c:pt>
                <c:pt idx="106">
                  <c:v>-5.2886285464965876E-3</c:v>
                </c:pt>
                <c:pt idx="107">
                  <c:v>-4.8475504711729123E-3</c:v>
                </c:pt>
                <c:pt idx="108">
                  <c:v>-5.1739833419783832E-3</c:v>
                </c:pt>
                <c:pt idx="109">
                  <c:v>-4.39947265677465E-3</c:v>
                </c:pt>
                <c:pt idx="110">
                  <c:v>-5.296158338004231E-3</c:v>
                </c:pt>
                <c:pt idx="111">
                  <c:v>-4.6167233936256213E-3</c:v>
                </c:pt>
                <c:pt idx="112">
                  <c:v>-4.6226670551872129E-3</c:v>
                </c:pt>
                <c:pt idx="113">
                  <c:v>-4.3379885894736514E-3</c:v>
                </c:pt>
                <c:pt idx="114">
                  <c:v>-3.4895477463734448E-3</c:v>
                </c:pt>
                <c:pt idx="115">
                  <c:v>-2.9894419686189444E-3</c:v>
                </c:pt>
                <c:pt idx="116">
                  <c:v>-2.8842349179203364E-3</c:v>
                </c:pt>
                <c:pt idx="117">
                  <c:v>-2.4143174580633087E-3</c:v>
                </c:pt>
                <c:pt idx="118">
                  <c:v>-1.6433753007658591E-3</c:v>
                </c:pt>
                <c:pt idx="119">
                  <c:v>-1.5079431053697245E-3</c:v>
                </c:pt>
                <c:pt idx="120">
                  <c:v>-7.7179743986843796E-4</c:v>
                </c:pt>
                <c:pt idx="121">
                  <c:v>-4.4223841693913357E-4</c:v>
                </c:pt>
                <c:pt idx="122">
                  <c:v>2.776182730339638E-4</c:v>
                </c:pt>
                <c:pt idx="123">
                  <c:v>8.3385251017520368E-4</c:v>
                </c:pt>
                <c:pt idx="124">
                  <c:v>1.2161713098952642E-3</c:v>
                </c:pt>
                <c:pt idx="125">
                  <c:v>2.0212539095252335E-3</c:v>
                </c:pt>
                <c:pt idx="126">
                  <c:v>2.4753089417401952E-3</c:v>
                </c:pt>
                <c:pt idx="127">
                  <c:v>2.7660520349916951E-3</c:v>
                </c:pt>
                <c:pt idx="128">
                  <c:v>3.3749483786069678E-3</c:v>
                </c:pt>
                <c:pt idx="129">
                  <c:v>4.2310000812890713E-3</c:v>
                </c:pt>
                <c:pt idx="130">
                  <c:v>4.6124575383652555E-3</c:v>
                </c:pt>
                <c:pt idx="131">
                  <c:v>5.1815636797585274E-3</c:v>
                </c:pt>
                <c:pt idx="132">
                  <c:v>5.7371680908093747E-3</c:v>
                </c:pt>
                <c:pt idx="133">
                  <c:v>5.9434067005272873E-3</c:v>
                </c:pt>
                <c:pt idx="134">
                  <c:v>6.3558079950707391E-3</c:v>
                </c:pt>
                <c:pt idx="135">
                  <c:v>6.3656740280533253E-3</c:v>
                </c:pt>
                <c:pt idx="136">
                  <c:v>6.2402437422321988E-3</c:v>
                </c:pt>
                <c:pt idx="137">
                  <c:v>6.4457445785877088E-3</c:v>
                </c:pt>
                <c:pt idx="138">
                  <c:v>6.3701506815969644E-3</c:v>
                </c:pt>
                <c:pt idx="139">
                  <c:v>5.9817890563711451E-3</c:v>
                </c:pt>
                <c:pt idx="140">
                  <c:v>5.028435008620491E-3</c:v>
                </c:pt>
                <c:pt idx="141">
                  <c:v>4.7295131937044044E-3</c:v>
                </c:pt>
                <c:pt idx="142">
                  <c:v>4.4341435216175284E-3</c:v>
                </c:pt>
                <c:pt idx="143">
                  <c:v>3.926594149052054E-3</c:v>
                </c:pt>
                <c:pt idx="144">
                  <c:v>2.7393801818988983E-3</c:v>
                </c:pt>
                <c:pt idx="145">
                  <c:v>2.294010299814353E-3</c:v>
                </c:pt>
                <c:pt idx="146">
                  <c:v>9.3336922034570335E-4</c:v>
                </c:pt>
                <c:pt idx="147">
                  <c:v>1.5836584611128579E-4</c:v>
                </c:pt>
                <c:pt idx="148">
                  <c:v>-5.7390383958377811E-4</c:v>
                </c:pt>
                <c:pt idx="149">
                  <c:v>-1.629112430377111E-3</c:v>
                </c:pt>
                <c:pt idx="150">
                  <c:v>-1.1287199615610533E-3</c:v>
                </c:pt>
                <c:pt idx="151">
                  <c:v>-1.0554127686779324E-3</c:v>
                </c:pt>
                <c:pt idx="152">
                  <c:v>-1.4894856890923514E-3</c:v>
                </c:pt>
                <c:pt idx="153">
                  <c:v>-2.0721433961294888E-3</c:v>
                </c:pt>
                <c:pt idx="154">
                  <c:v>-2.3923471102629268E-3</c:v>
                </c:pt>
                <c:pt idx="155">
                  <c:v>-2.4042219748854343E-3</c:v>
                </c:pt>
                <c:pt idx="156">
                  <c:v>-1.8641732708848391E-3</c:v>
                </c:pt>
                <c:pt idx="157">
                  <c:v>-1.5732786595441528E-3</c:v>
                </c:pt>
                <c:pt idx="158">
                  <c:v>-1.0925970920883099E-3</c:v>
                </c:pt>
                <c:pt idx="159">
                  <c:v>-8.3016837040394975E-4</c:v>
                </c:pt>
                <c:pt idx="160">
                  <c:v>3.2411110789598574E-4</c:v>
                </c:pt>
                <c:pt idx="161">
                  <c:v>2.6668424051301542E-5</c:v>
                </c:pt>
                <c:pt idx="162">
                  <c:v>-1.0799045641796123E-3</c:v>
                </c:pt>
                <c:pt idx="163">
                  <c:v>-8.1349307022726691E-4</c:v>
                </c:pt>
                <c:pt idx="164">
                  <c:v>-1.9474861497892348E-4</c:v>
                </c:pt>
                <c:pt idx="165">
                  <c:v>-1.1261308052445962E-4</c:v>
                </c:pt>
                <c:pt idx="166">
                  <c:v>-7.3159892863494669E-4</c:v>
                </c:pt>
                <c:pt idx="167">
                  <c:v>-7.400717719130423E-4</c:v>
                </c:pt>
                <c:pt idx="168">
                  <c:v>-2.2918512707568173E-3</c:v>
                </c:pt>
                <c:pt idx="169">
                  <c:v>-2.8675486282330187E-3</c:v>
                </c:pt>
                <c:pt idx="170">
                  <c:v>-2.8651849490972658E-3</c:v>
                </c:pt>
                <c:pt idx="171">
                  <c:v>-1.853546557351704E-3</c:v>
                </c:pt>
                <c:pt idx="172">
                  <c:v>-1.7880403877386097E-3</c:v>
                </c:pt>
                <c:pt idx="173">
                  <c:v>-1.6983196075088802E-3</c:v>
                </c:pt>
                <c:pt idx="174">
                  <c:v>-1.6868580078568396E-3</c:v>
                </c:pt>
                <c:pt idx="175">
                  <c:v>-1.368059666057464E-3</c:v>
                </c:pt>
                <c:pt idx="176">
                  <c:v>-9.4246313348778088E-4</c:v>
                </c:pt>
                <c:pt idx="177">
                  <c:v>-1.847795784788886E-3</c:v>
                </c:pt>
                <c:pt idx="178">
                  <c:v>-9.9924351967306535E-4</c:v>
                </c:pt>
                <c:pt idx="179">
                  <c:v>-1.7571214483806941E-3</c:v>
                </c:pt>
                <c:pt idx="180">
                  <c:v>-8.7485389789776491E-4</c:v>
                </c:pt>
                <c:pt idx="181">
                  <c:v>-1.2478333534609032E-3</c:v>
                </c:pt>
                <c:pt idx="182">
                  <c:v>-2.8627441208652904E-3</c:v>
                </c:pt>
                <c:pt idx="183">
                  <c:v>-1.7171449111321735E-3</c:v>
                </c:pt>
                <c:pt idx="184">
                  <c:v>-6.7751472207056018E-4</c:v>
                </c:pt>
                <c:pt idx="185">
                  <c:v>-5.3878744226643072E-4</c:v>
                </c:pt>
                <c:pt idx="186">
                  <c:v>-1.3647153577815985E-3</c:v>
                </c:pt>
                <c:pt idx="187">
                  <c:v>-1.451264317373413E-3</c:v>
                </c:pt>
                <c:pt idx="188">
                  <c:v>-6.9572463756695235E-4</c:v>
                </c:pt>
                <c:pt idx="189">
                  <c:v>-1.1262155154028175E-3</c:v>
                </c:pt>
                <c:pt idx="190">
                  <c:v>-8.9139472466781555E-4</c:v>
                </c:pt>
                <c:pt idx="191">
                  <c:v>-3.2028132406436427E-4</c:v>
                </c:pt>
                <c:pt idx="192">
                  <c:v>-5.6642519547200898E-4</c:v>
                </c:pt>
                <c:pt idx="193">
                  <c:v>-1.6306240520849169E-3</c:v>
                </c:pt>
                <c:pt idx="194">
                  <c:v>-1.9904280198985713E-3</c:v>
                </c:pt>
                <c:pt idx="195">
                  <c:v>-9.1426864033494759E-4</c:v>
                </c:pt>
                <c:pt idx="196">
                  <c:v>-1.1810999773760322E-3</c:v>
                </c:pt>
                <c:pt idx="197">
                  <c:v>-2.8020052347255131E-4</c:v>
                </c:pt>
                <c:pt idx="198">
                  <c:v>-7.3105813649920748E-4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30E-4F3F-9612-13BC1BF41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7360"/>
        <c:axId val="156828416"/>
      </c:scatterChart>
      <c:valAx>
        <c:axId val="156687360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828416"/>
        <c:crosses val="autoZero"/>
        <c:crossBetween val="midCat"/>
      </c:valAx>
      <c:valAx>
        <c:axId val="15682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687360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0895508418059928"/>
          <c:y val="0.12280698445628428"/>
          <c:w val="0.12089558641722536"/>
          <c:h val="9.9415028211293957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675081286480982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'2_EGFP'!$B$1</c:f>
              <c:strCache>
                <c:ptCount val="1"/>
                <c:pt idx="0">
                  <c:v>gfp2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'2_EGFP'!$A$2:$A$252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'2_EGFP'!$B$2:$B$252</c:f>
              <c:numCache>
                <c:formatCode>General</c:formatCode>
                <c:ptCount val="251"/>
                <c:pt idx="0">
                  <c:v>1.3771199999999999</c:v>
                </c:pt>
                <c:pt idx="1">
                  <c:v>1.4871000000000001</c:v>
                </c:pt>
                <c:pt idx="2">
                  <c:v>1.45028</c:v>
                </c:pt>
                <c:pt idx="3">
                  <c:v>1.4782599999999999</c:v>
                </c:pt>
                <c:pt idx="4">
                  <c:v>1.43997</c:v>
                </c:pt>
                <c:pt idx="5">
                  <c:v>1.4286700000000001</c:v>
                </c:pt>
                <c:pt idx="6">
                  <c:v>1.4718800000000001</c:v>
                </c:pt>
                <c:pt idx="7">
                  <c:v>1.4414400000000001</c:v>
                </c:pt>
                <c:pt idx="8">
                  <c:v>1.44733</c:v>
                </c:pt>
                <c:pt idx="9">
                  <c:v>1.45224</c:v>
                </c:pt>
                <c:pt idx="10">
                  <c:v>1.4164000000000001</c:v>
                </c:pt>
                <c:pt idx="11">
                  <c:v>1.4021600000000001</c:v>
                </c:pt>
                <c:pt idx="12">
                  <c:v>1.43211</c:v>
                </c:pt>
                <c:pt idx="13">
                  <c:v>1.45224</c:v>
                </c:pt>
                <c:pt idx="14">
                  <c:v>1.4011800000000001</c:v>
                </c:pt>
                <c:pt idx="15">
                  <c:v>1.44929</c:v>
                </c:pt>
                <c:pt idx="16">
                  <c:v>1.4348099999999999</c:v>
                </c:pt>
                <c:pt idx="17">
                  <c:v>1.41689</c:v>
                </c:pt>
                <c:pt idx="18">
                  <c:v>1.4355500000000001</c:v>
                </c:pt>
                <c:pt idx="19">
                  <c:v>1.42499</c:v>
                </c:pt>
                <c:pt idx="20">
                  <c:v>1.4073199999999999</c:v>
                </c:pt>
                <c:pt idx="21">
                  <c:v>1.4237599999999999</c:v>
                </c:pt>
                <c:pt idx="22">
                  <c:v>1.4456100000000001</c:v>
                </c:pt>
                <c:pt idx="23">
                  <c:v>1.43628</c:v>
                </c:pt>
                <c:pt idx="24">
                  <c:v>1.4085399999999999</c:v>
                </c:pt>
                <c:pt idx="25">
                  <c:v>1.42536</c:v>
                </c:pt>
                <c:pt idx="26">
                  <c:v>1.39774</c:v>
                </c:pt>
                <c:pt idx="27">
                  <c:v>1.4245000000000001</c:v>
                </c:pt>
                <c:pt idx="28">
                  <c:v>1.40449</c:v>
                </c:pt>
                <c:pt idx="29">
                  <c:v>1.4101399999999999</c:v>
                </c:pt>
                <c:pt idx="30">
                  <c:v>1.4300200000000001</c:v>
                </c:pt>
                <c:pt idx="31">
                  <c:v>1.41892</c:v>
                </c:pt>
                <c:pt idx="32">
                  <c:v>1.4088499999999999</c:v>
                </c:pt>
                <c:pt idx="33">
                  <c:v>1.40517</c:v>
                </c:pt>
                <c:pt idx="34">
                  <c:v>1.3816600000000001</c:v>
                </c:pt>
                <c:pt idx="35">
                  <c:v>1.3940600000000001</c:v>
                </c:pt>
                <c:pt idx="36">
                  <c:v>1.3869400000000001</c:v>
                </c:pt>
                <c:pt idx="37">
                  <c:v>1.39836</c:v>
                </c:pt>
                <c:pt idx="38">
                  <c:v>1.3853500000000001</c:v>
                </c:pt>
                <c:pt idx="39">
                  <c:v>1.3825499999999999</c:v>
                </c:pt>
                <c:pt idx="40">
                  <c:v>1.3862099999999999</c:v>
                </c:pt>
                <c:pt idx="41">
                  <c:v>1.38731</c:v>
                </c:pt>
                <c:pt idx="42">
                  <c:v>1.3847</c:v>
                </c:pt>
                <c:pt idx="43">
                  <c:v>1.37666</c:v>
                </c:pt>
                <c:pt idx="44">
                  <c:v>1.38565</c:v>
                </c:pt>
                <c:pt idx="45">
                  <c:v>1.3723399999999999</c:v>
                </c:pt>
                <c:pt idx="46">
                  <c:v>1.3950400000000001</c:v>
                </c:pt>
                <c:pt idx="47">
                  <c:v>1.3749400000000001</c:v>
                </c:pt>
                <c:pt idx="48">
                  <c:v>1.3775999999999999</c:v>
                </c:pt>
                <c:pt idx="49">
                  <c:v>1.3727799999999999</c:v>
                </c:pt>
                <c:pt idx="50">
                  <c:v>1.36982</c:v>
                </c:pt>
                <c:pt idx="51">
                  <c:v>1.3627899999999999</c:v>
                </c:pt>
                <c:pt idx="52">
                  <c:v>1.3710899999999999</c:v>
                </c:pt>
                <c:pt idx="53">
                  <c:v>1.3705000000000001</c:v>
                </c:pt>
                <c:pt idx="54">
                  <c:v>1.3640099999999999</c:v>
                </c:pt>
                <c:pt idx="55">
                  <c:v>1.35501</c:v>
                </c:pt>
                <c:pt idx="56">
                  <c:v>1.3602399999999999</c:v>
                </c:pt>
                <c:pt idx="57">
                  <c:v>1.35083</c:v>
                </c:pt>
                <c:pt idx="58">
                  <c:v>1.3545499999999999</c:v>
                </c:pt>
                <c:pt idx="59">
                  <c:v>1.35266</c:v>
                </c:pt>
                <c:pt idx="60">
                  <c:v>1.3454299999999999</c:v>
                </c:pt>
                <c:pt idx="61">
                  <c:v>1.3412599999999999</c:v>
                </c:pt>
                <c:pt idx="62">
                  <c:v>1.34128</c:v>
                </c:pt>
                <c:pt idx="63">
                  <c:v>1.3394999999999999</c:v>
                </c:pt>
                <c:pt idx="64">
                  <c:v>1.3393999999999999</c:v>
                </c:pt>
                <c:pt idx="65">
                  <c:v>1.33866</c:v>
                </c:pt>
                <c:pt idx="66">
                  <c:v>1.33368</c:v>
                </c:pt>
                <c:pt idx="67">
                  <c:v>1.33202</c:v>
                </c:pt>
                <c:pt idx="68">
                  <c:v>1.33168</c:v>
                </c:pt>
                <c:pt idx="69">
                  <c:v>1.33667</c:v>
                </c:pt>
                <c:pt idx="70">
                  <c:v>1.3290500000000001</c:v>
                </c:pt>
                <c:pt idx="71">
                  <c:v>1.32829</c:v>
                </c:pt>
                <c:pt idx="72">
                  <c:v>1.32901</c:v>
                </c:pt>
                <c:pt idx="73">
                  <c:v>1.3247599999999999</c:v>
                </c:pt>
                <c:pt idx="74">
                  <c:v>1.32406</c:v>
                </c:pt>
                <c:pt idx="75">
                  <c:v>1.32013</c:v>
                </c:pt>
                <c:pt idx="76">
                  <c:v>1.3211999999999999</c:v>
                </c:pt>
                <c:pt idx="77">
                  <c:v>1.3168299999999999</c:v>
                </c:pt>
                <c:pt idx="78">
                  <c:v>1.31996</c:v>
                </c:pt>
                <c:pt idx="79">
                  <c:v>1.3173600000000001</c:v>
                </c:pt>
                <c:pt idx="80">
                  <c:v>1.3176000000000001</c:v>
                </c:pt>
                <c:pt idx="81">
                  <c:v>1.31572</c:v>
                </c:pt>
                <c:pt idx="82">
                  <c:v>1.3134999999999999</c:v>
                </c:pt>
                <c:pt idx="83">
                  <c:v>1.31149</c:v>
                </c:pt>
                <c:pt idx="84">
                  <c:v>1.30741</c:v>
                </c:pt>
                <c:pt idx="85">
                  <c:v>1.3068500000000001</c:v>
                </c:pt>
                <c:pt idx="86">
                  <c:v>1.30762</c:v>
                </c:pt>
                <c:pt idx="87">
                  <c:v>1.30691</c:v>
                </c:pt>
                <c:pt idx="88">
                  <c:v>1.3013399999999999</c:v>
                </c:pt>
                <c:pt idx="89">
                  <c:v>1.30213</c:v>
                </c:pt>
                <c:pt idx="90">
                  <c:v>1.3006599999999999</c:v>
                </c:pt>
                <c:pt idx="91">
                  <c:v>1.2958400000000001</c:v>
                </c:pt>
                <c:pt idx="92">
                  <c:v>1.29478</c:v>
                </c:pt>
                <c:pt idx="93">
                  <c:v>1.2928200000000001</c:v>
                </c:pt>
                <c:pt idx="94">
                  <c:v>1.2914600000000001</c:v>
                </c:pt>
                <c:pt idx="95">
                  <c:v>1.28881</c:v>
                </c:pt>
                <c:pt idx="96">
                  <c:v>1.2861499999999999</c:v>
                </c:pt>
                <c:pt idx="97">
                  <c:v>1.2816000000000001</c:v>
                </c:pt>
                <c:pt idx="98">
                  <c:v>1.27864</c:v>
                </c:pt>
                <c:pt idx="99">
                  <c:v>1.27597</c:v>
                </c:pt>
                <c:pt idx="100">
                  <c:v>1.2719499999999999</c:v>
                </c:pt>
                <c:pt idx="101">
                  <c:v>1.2692399999999999</c:v>
                </c:pt>
                <c:pt idx="102">
                  <c:v>1.2666500000000001</c:v>
                </c:pt>
                <c:pt idx="103">
                  <c:v>1.2634300000000001</c:v>
                </c:pt>
                <c:pt idx="104">
                  <c:v>1.25928</c:v>
                </c:pt>
                <c:pt idx="105">
                  <c:v>1.2538499999999999</c:v>
                </c:pt>
                <c:pt idx="106">
                  <c:v>1.2485200000000001</c:v>
                </c:pt>
                <c:pt idx="107">
                  <c:v>1.2437100000000001</c:v>
                </c:pt>
                <c:pt idx="108">
                  <c:v>1.2398899999999999</c:v>
                </c:pt>
                <c:pt idx="109">
                  <c:v>1.2352399999999999</c:v>
                </c:pt>
                <c:pt idx="110">
                  <c:v>1.2301599999999999</c:v>
                </c:pt>
                <c:pt idx="111">
                  <c:v>1.2267300000000001</c:v>
                </c:pt>
                <c:pt idx="112">
                  <c:v>1.21959</c:v>
                </c:pt>
                <c:pt idx="113">
                  <c:v>1.2130700000000001</c:v>
                </c:pt>
                <c:pt idx="114">
                  <c:v>1.20675</c:v>
                </c:pt>
                <c:pt idx="115">
                  <c:v>1.2001200000000001</c:v>
                </c:pt>
                <c:pt idx="116">
                  <c:v>1.1943600000000001</c:v>
                </c:pt>
                <c:pt idx="117">
                  <c:v>1.1894199999999999</c:v>
                </c:pt>
                <c:pt idx="118">
                  <c:v>1.1848399999999999</c:v>
                </c:pt>
                <c:pt idx="119">
                  <c:v>1.1801999999999999</c:v>
                </c:pt>
                <c:pt idx="120">
                  <c:v>1.17103</c:v>
                </c:pt>
                <c:pt idx="121">
                  <c:v>1.16368</c:v>
                </c:pt>
                <c:pt idx="122">
                  <c:v>1.1569199999999999</c:v>
                </c:pt>
                <c:pt idx="123">
                  <c:v>1.15035</c:v>
                </c:pt>
                <c:pt idx="124">
                  <c:v>1.14476</c:v>
                </c:pt>
                <c:pt idx="125">
                  <c:v>1.1399600000000001</c:v>
                </c:pt>
                <c:pt idx="126">
                  <c:v>1.1350499999999999</c:v>
                </c:pt>
                <c:pt idx="127">
                  <c:v>1.13097</c:v>
                </c:pt>
                <c:pt idx="128">
                  <c:v>1.1228499999999999</c:v>
                </c:pt>
                <c:pt idx="129">
                  <c:v>1.11541</c:v>
                </c:pt>
                <c:pt idx="130">
                  <c:v>1.10927</c:v>
                </c:pt>
                <c:pt idx="131">
                  <c:v>1.1036300000000001</c:v>
                </c:pt>
                <c:pt idx="132">
                  <c:v>1.09863</c:v>
                </c:pt>
                <c:pt idx="133">
                  <c:v>1.0946899999999999</c:v>
                </c:pt>
                <c:pt idx="134">
                  <c:v>1.09091</c:v>
                </c:pt>
                <c:pt idx="135">
                  <c:v>1.0873600000000001</c:v>
                </c:pt>
                <c:pt idx="136">
                  <c:v>1.0804</c:v>
                </c:pt>
                <c:pt idx="137">
                  <c:v>1.0740499999999999</c:v>
                </c:pt>
                <c:pt idx="138">
                  <c:v>1.06932</c:v>
                </c:pt>
                <c:pt idx="139">
                  <c:v>1.06528</c:v>
                </c:pt>
                <c:pt idx="140">
                  <c:v>1.0614600000000001</c:v>
                </c:pt>
                <c:pt idx="141">
                  <c:v>1.0581400000000001</c:v>
                </c:pt>
                <c:pt idx="142">
                  <c:v>1.0551699999999999</c:v>
                </c:pt>
                <c:pt idx="143">
                  <c:v>1.0524100000000001</c:v>
                </c:pt>
                <c:pt idx="144">
                  <c:v>1.04779</c:v>
                </c:pt>
                <c:pt idx="145">
                  <c:v>1.04372</c:v>
                </c:pt>
                <c:pt idx="146">
                  <c:v>1.0409200000000001</c:v>
                </c:pt>
                <c:pt idx="147">
                  <c:v>1.03807</c:v>
                </c:pt>
                <c:pt idx="148">
                  <c:v>1.03444</c:v>
                </c:pt>
                <c:pt idx="149">
                  <c:v>1.03098</c:v>
                </c:pt>
                <c:pt idx="150">
                  <c:v>1.02847</c:v>
                </c:pt>
                <c:pt idx="151">
                  <c:v>1.02698</c:v>
                </c:pt>
                <c:pt idx="152">
                  <c:v>1.0251300000000001</c:v>
                </c:pt>
                <c:pt idx="153">
                  <c:v>1.02315</c:v>
                </c:pt>
                <c:pt idx="154">
                  <c:v>1.02163</c:v>
                </c:pt>
                <c:pt idx="155">
                  <c:v>1.01973</c:v>
                </c:pt>
                <c:pt idx="156">
                  <c:v>1.01745</c:v>
                </c:pt>
                <c:pt idx="157">
                  <c:v>1.01542</c:v>
                </c:pt>
                <c:pt idx="158">
                  <c:v>1.0144299999999999</c:v>
                </c:pt>
                <c:pt idx="159">
                  <c:v>1.01397</c:v>
                </c:pt>
                <c:pt idx="160">
                  <c:v>1.0125999999999999</c:v>
                </c:pt>
                <c:pt idx="161">
                  <c:v>1.01241</c:v>
                </c:pt>
                <c:pt idx="162">
                  <c:v>1.0118799999999999</c:v>
                </c:pt>
                <c:pt idx="163">
                  <c:v>1.0114000000000001</c:v>
                </c:pt>
                <c:pt idx="164">
                  <c:v>1.01023</c:v>
                </c:pt>
                <c:pt idx="165">
                  <c:v>1.00878</c:v>
                </c:pt>
                <c:pt idx="166">
                  <c:v>1.0088200000000001</c:v>
                </c:pt>
                <c:pt idx="167">
                  <c:v>1.00912</c:v>
                </c:pt>
                <c:pt idx="168">
                  <c:v>1.00986</c:v>
                </c:pt>
                <c:pt idx="169">
                  <c:v>1.00817</c:v>
                </c:pt>
                <c:pt idx="170">
                  <c:v>1.0063800000000001</c:v>
                </c:pt>
                <c:pt idx="171">
                  <c:v>1.0064299999999999</c:v>
                </c:pt>
                <c:pt idx="172">
                  <c:v>1.00536</c:v>
                </c:pt>
                <c:pt idx="173">
                  <c:v>1.00526</c:v>
                </c:pt>
                <c:pt idx="174">
                  <c:v>1.00593</c:v>
                </c:pt>
                <c:pt idx="175">
                  <c:v>1.00475</c:v>
                </c:pt>
                <c:pt idx="176">
                  <c:v>1.00545</c:v>
                </c:pt>
                <c:pt idx="177">
                  <c:v>1.00525</c:v>
                </c:pt>
                <c:pt idx="178">
                  <c:v>1.00461</c:v>
                </c:pt>
                <c:pt idx="179">
                  <c:v>1.0043800000000001</c:v>
                </c:pt>
                <c:pt idx="180">
                  <c:v>1.00332</c:v>
                </c:pt>
                <c:pt idx="181">
                  <c:v>1.00268</c:v>
                </c:pt>
                <c:pt idx="182">
                  <c:v>1.00291</c:v>
                </c:pt>
                <c:pt idx="183">
                  <c:v>1.00393</c:v>
                </c:pt>
                <c:pt idx="184">
                  <c:v>1.0030399999999999</c:v>
                </c:pt>
                <c:pt idx="185">
                  <c:v>1.00353</c:v>
                </c:pt>
                <c:pt idx="186">
                  <c:v>1.00396</c:v>
                </c:pt>
                <c:pt idx="187">
                  <c:v>1.00275</c:v>
                </c:pt>
                <c:pt idx="188">
                  <c:v>1.0036499999999999</c:v>
                </c:pt>
                <c:pt idx="189">
                  <c:v>1.0036499999999999</c:v>
                </c:pt>
                <c:pt idx="190">
                  <c:v>1.0025900000000001</c:v>
                </c:pt>
                <c:pt idx="191">
                  <c:v>1.0026600000000001</c:v>
                </c:pt>
                <c:pt idx="192">
                  <c:v>1.0023</c:v>
                </c:pt>
                <c:pt idx="193">
                  <c:v>1.0032099999999999</c:v>
                </c:pt>
                <c:pt idx="194">
                  <c:v>1.00288</c:v>
                </c:pt>
                <c:pt idx="195">
                  <c:v>1.00169</c:v>
                </c:pt>
                <c:pt idx="196">
                  <c:v>1.00302</c:v>
                </c:pt>
                <c:pt idx="197">
                  <c:v>1.00298</c:v>
                </c:pt>
                <c:pt idx="198">
                  <c:v>1.00223</c:v>
                </c:pt>
                <c:pt idx="199">
                  <c:v>1.0018800000000001</c:v>
                </c:pt>
                <c:pt idx="200">
                  <c:v>1.0016</c:v>
                </c:pt>
                <c:pt idx="201">
                  <c:v>1.00301</c:v>
                </c:pt>
                <c:pt idx="202">
                  <c:v>1.00251</c:v>
                </c:pt>
                <c:pt idx="203">
                  <c:v>1.0021500000000001</c:v>
                </c:pt>
                <c:pt idx="204">
                  <c:v>1.0018400000000001</c:v>
                </c:pt>
                <c:pt idx="205">
                  <c:v>1.00145</c:v>
                </c:pt>
                <c:pt idx="206">
                  <c:v>1.0023899999999999</c:v>
                </c:pt>
                <c:pt idx="207">
                  <c:v>1.00241</c:v>
                </c:pt>
                <c:pt idx="208">
                  <c:v>1.0024599999999999</c:v>
                </c:pt>
                <c:pt idx="209">
                  <c:v>1.0019899999999999</c:v>
                </c:pt>
                <c:pt idx="210">
                  <c:v>1.00237</c:v>
                </c:pt>
                <c:pt idx="211">
                  <c:v>1.00159</c:v>
                </c:pt>
                <c:pt idx="212">
                  <c:v>1.0017100000000001</c:v>
                </c:pt>
                <c:pt idx="213">
                  <c:v>1.00146</c:v>
                </c:pt>
                <c:pt idx="214">
                  <c:v>1.0025999999999999</c:v>
                </c:pt>
                <c:pt idx="215">
                  <c:v>1.00264</c:v>
                </c:pt>
                <c:pt idx="216">
                  <c:v>1.0037100000000001</c:v>
                </c:pt>
                <c:pt idx="217">
                  <c:v>1.0036</c:v>
                </c:pt>
                <c:pt idx="218">
                  <c:v>1.0031399999999999</c:v>
                </c:pt>
                <c:pt idx="219">
                  <c:v>1.00282</c:v>
                </c:pt>
                <c:pt idx="220">
                  <c:v>1.0030300000000001</c:v>
                </c:pt>
                <c:pt idx="221">
                  <c:v>1.00329</c:v>
                </c:pt>
                <c:pt idx="222">
                  <c:v>1.00217</c:v>
                </c:pt>
                <c:pt idx="223">
                  <c:v>1.00227</c:v>
                </c:pt>
                <c:pt idx="224">
                  <c:v>1.0023200000000001</c:v>
                </c:pt>
                <c:pt idx="225">
                  <c:v>1.0027299999999999</c:v>
                </c:pt>
                <c:pt idx="226">
                  <c:v>1.00284</c:v>
                </c:pt>
                <c:pt idx="227">
                  <c:v>1.0020500000000001</c:v>
                </c:pt>
                <c:pt idx="228">
                  <c:v>1.00342</c:v>
                </c:pt>
                <c:pt idx="229">
                  <c:v>1.0019499999999999</c:v>
                </c:pt>
                <c:pt idx="230">
                  <c:v>1.00142</c:v>
                </c:pt>
                <c:pt idx="231">
                  <c:v>1.00068</c:v>
                </c:pt>
                <c:pt idx="232">
                  <c:v>1.00074</c:v>
                </c:pt>
                <c:pt idx="233">
                  <c:v>1.00257</c:v>
                </c:pt>
                <c:pt idx="234">
                  <c:v>1.0031399999999999</c:v>
                </c:pt>
                <c:pt idx="235">
                  <c:v>1.00224</c:v>
                </c:pt>
                <c:pt idx="236">
                  <c:v>1.00152</c:v>
                </c:pt>
                <c:pt idx="237">
                  <c:v>1.0005599999999999</c:v>
                </c:pt>
                <c:pt idx="238">
                  <c:v>1.0012399999999999</c:v>
                </c:pt>
                <c:pt idx="239">
                  <c:v>1.0007900000000001</c:v>
                </c:pt>
                <c:pt idx="240">
                  <c:v>1.0012399999999999</c:v>
                </c:pt>
                <c:pt idx="241">
                  <c:v>1.0000899999999999</c:v>
                </c:pt>
                <c:pt idx="242">
                  <c:v>0.99718399999999996</c:v>
                </c:pt>
                <c:pt idx="243">
                  <c:v>0.99526099999999995</c:v>
                </c:pt>
                <c:pt idx="244">
                  <c:v>0.99365000000000003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30F-476B-8D44-C7263FA0AA49}"/>
            </c:ext>
          </c:extLst>
        </c:ser>
        <c:ser>
          <c:idx val="1"/>
          <c:order val="1"/>
          <c:tx>
            <c:strRef>
              <c:f>'2_EGFP'!$E$1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'2_EGFP'!$A$3:$A$252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'2_EGFP'!$E$3:$E$200</c:f>
              <c:numCache>
                <c:formatCode>General</c:formatCode>
                <c:ptCount val="198"/>
                <c:pt idx="0">
                  <c:v>1.4535469923540101</c:v>
                </c:pt>
                <c:pt idx="1">
                  <c:v>1.4521433499449667</c:v>
                </c:pt>
                <c:pt idx="2">
                  <c:v>1.4507694256348556</c:v>
                </c:pt>
                <c:pt idx="3">
                  <c:v>1.4494245575024618</c:v>
                </c:pt>
                <c:pt idx="4">
                  <c:v>1.448108098402503</c:v>
                </c:pt>
                <c:pt idx="5">
                  <c:v>1.4468194156357566</c:v>
                </c:pt>
                <c:pt idx="6">
                  <c:v>1.4455578906265512</c:v>
                </c:pt>
                <c:pt idx="7">
                  <c:v>1.4443229186074618</c:v>
                </c:pt>
                <c:pt idx="8">
                  <c:v>1.4431139083110376</c:v>
                </c:pt>
                <c:pt idx="9">
                  <c:v>1.4419302816684185</c:v>
                </c:pt>
                <c:pt idx="10">
                  <c:v>1.4407714735146766</c:v>
                </c:pt>
                <c:pt idx="11">
                  <c:v>1.4396369313007358</c:v>
                </c:pt>
                <c:pt idx="12">
                  <c:v>1.4385261148117243</c:v>
                </c:pt>
                <c:pt idx="13">
                  <c:v>1.4374384958916149</c:v>
                </c:pt>
                <c:pt idx="14">
                  <c:v>1.4363735581740107</c:v>
                </c:pt>
                <c:pt idx="15">
                  <c:v>1.4343097182555449</c:v>
                </c:pt>
                <c:pt idx="16">
                  <c:v>1.4323306900619219</c:v>
                </c:pt>
                <c:pt idx="17">
                  <c:v>1.4304327409875373</c:v>
                </c:pt>
                <c:pt idx="18">
                  <c:v>1.4286123032043738</c:v>
                </c:pt>
                <c:pt idx="19">
                  <c:v>1.4268659663868342</c:v>
                </c:pt>
                <c:pt idx="20">
                  <c:v>1.4251904707577874</c:v>
                </c:pt>
                <c:pt idx="21">
                  <c:v>1.4235827004416419</c:v>
                </c:pt>
                <c:pt idx="22">
                  <c:v>1.4220396771108916</c:v>
                </c:pt>
                <c:pt idx="23">
                  <c:v>1.4191366096664915</c:v>
                </c:pt>
                <c:pt idx="24">
                  <c:v>1.4164599686037196</c:v>
                </c:pt>
                <c:pt idx="25">
                  <c:v>1.4139902930680788</c:v>
                </c:pt>
                <c:pt idx="26">
                  <c:v>1.4117098023706713</c:v>
                </c:pt>
                <c:pt idx="27">
                  <c:v>1.4096022509005124</c:v>
                </c:pt>
                <c:pt idx="28">
                  <c:v>1.4076527955657436</c:v>
                </c:pt>
                <c:pt idx="29">
                  <c:v>1.4058478746818313</c:v>
                </c:pt>
                <c:pt idx="30">
                  <c:v>1.4041750973182481</c:v>
                </c:pt>
                <c:pt idx="31">
                  <c:v>1.4011816653424485</c:v>
                </c:pt>
                <c:pt idx="32">
                  <c:v>1.3985931578410622</c:v>
                </c:pt>
                <c:pt idx="33">
                  <c:v>1.3963433390246627</c:v>
                </c:pt>
                <c:pt idx="34">
                  <c:v>1.3943769133714117</c:v>
                </c:pt>
                <c:pt idx="35">
                  <c:v>1.3926477177773264</c:v>
                </c:pt>
                <c:pt idx="36">
                  <c:v>1.3911172124552973</c:v>
                </c:pt>
                <c:pt idx="37">
                  <c:v>1.3897532212143073</c:v>
                </c:pt>
                <c:pt idx="38">
                  <c:v>1.3885288799085194</c:v>
                </c:pt>
                <c:pt idx="39">
                  <c:v>1.3864131291110386</c:v>
                </c:pt>
                <c:pt idx="40">
                  <c:v>1.3846313706568032</c:v>
                </c:pt>
                <c:pt idx="41">
                  <c:v>1.3830869620504991</c:v>
                </c:pt>
                <c:pt idx="42">
                  <c:v>1.3817124907722163</c:v>
                </c:pt>
                <c:pt idx="43">
                  <c:v>1.3804609130253329</c:v>
                </c:pt>
                <c:pt idx="44">
                  <c:v>1.379299379147185</c:v>
                </c:pt>
                <c:pt idx="45">
                  <c:v>1.3782049311022857</c:v>
                </c:pt>
                <c:pt idx="46">
                  <c:v>1.3771615044538457</c:v>
                </c:pt>
                <c:pt idx="47">
                  <c:v>1.3751860246066587</c:v>
                </c:pt>
                <c:pt idx="48">
                  <c:v>1.3733172681103762</c:v>
                </c:pt>
                <c:pt idx="49">
                  <c:v>1.3715273490718798</c:v>
                </c:pt>
                <c:pt idx="50">
                  <c:v>1.3698018988277476</c:v>
                </c:pt>
                <c:pt idx="51">
                  <c:v>1.3681331372950305</c:v>
                </c:pt>
                <c:pt idx="52">
                  <c:v>1.3665165080644788</c:v>
                </c:pt>
                <c:pt idx="53">
                  <c:v>1.364949043851732</c:v>
                </c:pt>
                <c:pt idx="54">
                  <c:v>1.3634285721271004</c:v>
                </c:pt>
                <c:pt idx="55">
                  <c:v>1.3605217694477427</c:v>
                </c:pt>
                <c:pt idx="56">
                  <c:v>1.3577841211849082</c:v>
                </c:pt>
                <c:pt idx="57">
                  <c:v>1.355205163776269</c:v>
                </c:pt>
                <c:pt idx="58">
                  <c:v>1.3527752526645387</c:v>
                </c:pt>
                <c:pt idx="59">
                  <c:v>1.3504853702384518</c:v>
                </c:pt>
                <c:pt idx="60">
                  <c:v>1.3483270543287205</c:v>
                </c:pt>
                <c:pt idx="61">
                  <c:v>1.3462923567099609</c:v>
                </c:pt>
                <c:pt idx="62">
                  <c:v>1.3443738101660228</c:v>
                </c:pt>
                <c:pt idx="63">
                  <c:v>1.3408575315068532</c:v>
                </c:pt>
                <c:pt idx="64">
                  <c:v>1.3377270293415096</c:v>
                </c:pt>
                <c:pt idx="65">
                  <c:v>1.3349371159117362</c:v>
                </c:pt>
                <c:pt idx="66">
                  <c:v>1.3324479010514718</c:v>
                </c:pt>
                <c:pt idx="67">
                  <c:v>1.33022417109119</c:v>
                </c:pt>
                <c:pt idx="68">
                  <c:v>1.3282348405855746</c:v>
                </c:pt>
                <c:pt idx="69">
                  <c:v>1.3264524683228223</c:v>
                </c:pt>
                <c:pt idx="70">
                  <c:v>1.3248528300785438</c:v>
                </c:pt>
                <c:pt idx="71">
                  <c:v>1.3221187249755382</c:v>
                </c:pt>
                <c:pt idx="72">
                  <c:v>1.3198898039466405</c:v>
                </c:pt>
                <c:pt idx="73">
                  <c:v>1.3180548462687793</c:v>
                </c:pt>
                <c:pt idx="74">
                  <c:v>1.3165271787519666</c:v>
                </c:pt>
                <c:pt idx="75">
                  <c:v>1.3152392574483041</c:v>
                </c:pt>
                <c:pt idx="76">
                  <c:v>1.3141384453550973</c:v>
                </c:pt>
                <c:pt idx="77">
                  <c:v>1.3131837221098426</c:v>
                </c:pt>
                <c:pt idx="78">
                  <c:v>1.3123431199519748</c:v>
                </c:pt>
                <c:pt idx="79">
                  <c:v>1.3109101233896092</c:v>
                </c:pt>
                <c:pt idx="80">
                  <c:v>1.3096991068424322</c:v>
                </c:pt>
                <c:pt idx="81">
                  <c:v>1.308624820661519</c:v>
                </c:pt>
                <c:pt idx="82">
                  <c:v>1.3076354764618339</c:v>
                </c:pt>
                <c:pt idx="83">
                  <c:v>1.3066996068418564</c:v>
                </c:pt>
                <c:pt idx="84">
                  <c:v>1.3057980854799451</c:v>
                </c:pt>
                <c:pt idx="85">
                  <c:v>1.3049192810114629</c:v>
                </c:pt>
                <c:pt idx="86">
                  <c:v>1.3040561139967515</c:v>
                </c:pt>
                <c:pt idx="87">
                  <c:v>1.3023611122097405</c:v>
                </c:pt>
                <c:pt idx="88">
                  <c:v>1.3006950152289887</c:v>
                </c:pt>
                <c:pt idx="89">
                  <c:v>1.2990509696403556</c:v>
                </c:pt>
                <c:pt idx="90">
                  <c:v>1.2974262615581091</c:v>
                </c:pt>
                <c:pt idx="91">
                  <c:v>1.2958197080475689</c:v>
                </c:pt>
                <c:pt idx="92">
                  <c:v>1.2942306948204136</c:v>
                </c:pt>
                <c:pt idx="93">
                  <c:v>1.2926588211641961</c:v>
                </c:pt>
                <c:pt idx="94">
                  <c:v>1.2911037688618423</c:v>
                </c:pt>
                <c:pt idx="95">
                  <c:v>1.288043007693255</c:v>
                </c:pt>
                <c:pt idx="96">
                  <c:v>1.2850462946174597</c:v>
                </c:pt>
                <c:pt idx="97">
                  <c:v>1.282111635390816</c:v>
                </c:pt>
                <c:pt idx="98">
                  <c:v>1.2792371222274153</c:v>
                </c:pt>
                <c:pt idx="99">
                  <c:v>1.27642092536703</c:v>
                </c:pt>
                <c:pt idx="100">
                  <c:v>1.2736612886074095</c:v>
                </c:pt>
                <c:pt idx="101">
                  <c:v>1.2709565255738877</c:v>
                </c:pt>
                <c:pt idx="102">
                  <c:v>1.2683050162734093</c:v>
                </c:pt>
                <c:pt idx="103">
                  <c:v>1.2631555915814592</c:v>
                </c:pt>
                <c:pt idx="104">
                  <c:v>1.2582012638674769</c:v>
                </c:pt>
                <c:pt idx="105">
                  <c:v>1.25343115596467</c:v>
                </c:pt>
                <c:pt idx="106">
                  <c:v>1.2488351845190135</c:v>
                </c:pt>
                <c:pt idx="107">
                  <c:v>1.2444039888715031</c:v>
                </c:pt>
                <c:pt idx="108">
                  <c:v>1.2401288674515571</c:v>
                </c:pt>
                <c:pt idx="109">
                  <c:v>1.2360017207720679</c:v>
                </c:pt>
                <c:pt idx="110">
                  <c:v>1.2320150002403161</c:v>
                </c:pt>
                <c:pt idx="111">
                  <c:v>1.2244351259418009</c:v>
                </c:pt>
                <c:pt idx="112">
                  <c:v>1.2173382332042957</c:v>
                </c:pt>
                <c:pt idx="113">
                  <c:v>1.2106796074296859</c:v>
                </c:pt>
                <c:pt idx="114">
                  <c:v>1.2044198882832742</c:v>
                </c:pt>
                <c:pt idx="115">
                  <c:v>1.1985242915681138</c:v>
                </c:pt>
                <c:pt idx="116">
                  <c:v>1.1929619629668828</c:v>
                </c:pt>
                <c:pt idx="117">
                  <c:v>1.1877054382955534</c:v>
                </c:pt>
                <c:pt idx="118">
                  <c:v>1.1827301903360898</c:v>
                </c:pt>
                <c:pt idx="119">
                  <c:v>1.1735378645187284</c:v>
                </c:pt>
                <c:pt idx="120">
                  <c:v>1.1652343538665735</c:v>
                </c:pt>
                <c:pt idx="121">
                  <c:v>1.1576967898556325</c:v>
                </c:pt>
                <c:pt idx="122">
                  <c:v>1.1508239525169319</c:v>
                </c:pt>
                <c:pt idx="123">
                  <c:v>1.144531703700258</c:v>
                </c:pt>
                <c:pt idx="124">
                  <c:v>1.1387495295570449</c:v>
                </c:pt>
                <c:pt idx="125">
                  <c:v>1.1334178901491223</c:v>
                </c:pt>
                <c:pt idx="126">
                  <c:v>1.1284861645966213</c:v>
                </c:pt>
                <c:pt idx="127">
                  <c:v>1.1196552445625174</c:v>
                </c:pt>
                <c:pt idx="128">
                  <c:v>1.1119768103673415</c:v>
                </c:pt>
                <c:pt idx="129">
                  <c:v>1.1052393897354129</c:v>
                </c:pt>
                <c:pt idx="130">
                  <c:v>1.099280261747996</c:v>
                </c:pt>
                <c:pt idx="131">
                  <c:v>1.0939721739697461</c:v>
                </c:pt>
                <c:pt idx="132">
                  <c:v>1.0892141780363291</c:v>
                </c:pt>
                <c:pt idx="133">
                  <c:v>1.0849251671183846</c:v>
                </c:pt>
                <c:pt idx="134">
                  <c:v>1.0810392294513242</c:v>
                </c:pt>
                <c:pt idx="135">
                  <c:v>1.0742693805553722</c:v>
                </c:pt>
                <c:pt idx="136">
                  <c:v>1.0685719760299328</c:v>
                </c:pt>
                <c:pt idx="137">
                  <c:v>1.0637116625553928</c:v>
                </c:pt>
                <c:pt idx="138">
                  <c:v>1.0595172377669062</c:v>
                </c:pt>
                <c:pt idx="139">
                  <c:v>1.0558611881174034</c:v>
                </c:pt>
                <c:pt idx="140">
                  <c:v>1.0526465891645032</c:v>
                </c:pt>
                <c:pt idx="141">
                  <c:v>1.0497984525701674</c:v>
                </c:pt>
                <c:pt idx="142">
                  <c:v>1.0472578530940697</c:v>
                </c:pt>
                <c:pt idx="143">
                  <c:v>1.0429205723104722</c:v>
                </c:pt>
                <c:pt idx="144">
                  <c:v>1.0393561783984788</c:v>
                </c:pt>
                <c:pt idx="145">
                  <c:v>1.0363764359439032</c:v>
                </c:pt>
                <c:pt idx="146">
                  <c:v>1.0338495776767564</c:v>
                </c:pt>
                <c:pt idx="147">
                  <c:v>1.0316806112925061</c:v>
                </c:pt>
                <c:pt idx="148">
                  <c:v>1.0297993301473736</c:v>
                </c:pt>
                <c:pt idx="149">
                  <c:v>1.0281527270618553</c:v>
                </c:pt>
                <c:pt idx="150">
                  <c:v>1.0267000335051375</c:v>
                </c:pt>
                <c:pt idx="151">
                  <c:v>1.024255504030374</c:v>
                </c:pt>
                <c:pt idx="152">
                  <c:v>1.0222807096384283</c:v>
                </c:pt>
                <c:pt idx="153">
                  <c:v>1.0206541300526777</c:v>
                </c:pt>
                <c:pt idx="154">
                  <c:v>1.0192926810040852</c:v>
                </c:pt>
                <c:pt idx="155">
                  <c:v>1.0181376468725849</c:v>
                </c:pt>
                <c:pt idx="156">
                  <c:v>1.017146368324902</c:v>
                </c:pt>
                <c:pt idx="157">
                  <c:v>1.0162871137703595</c:v>
                </c:pt>
                <c:pt idx="158">
                  <c:v>1.0155357974854045</c:v>
                </c:pt>
                <c:pt idx="159">
                  <c:v>1.0142865615384398</c:v>
                </c:pt>
                <c:pt idx="160">
                  <c:v>1.0132920817949083</c:v>
                </c:pt>
                <c:pt idx="161">
                  <c:v>1.0124836282819505</c:v>
                </c:pt>
                <c:pt idx="162">
                  <c:v>1.0118149359150668</c:v>
                </c:pt>
                <c:pt idx="163">
                  <c:v>1.0112537512667705</c:v>
                </c:pt>
                <c:pt idx="164">
                  <c:v>1.0107769235011601</c:v>
                </c:pt>
                <c:pt idx="165">
                  <c:v>1.0103674202683919</c:v>
                </c:pt>
                <c:pt idx="166">
                  <c:v>1.0100124427179475</c:v>
                </c:pt>
                <c:pt idx="167">
                  <c:v>1.0094290588985591</c:v>
                </c:pt>
                <c:pt idx="168">
                  <c:v>1.0089712884168913</c:v>
                </c:pt>
                <c:pt idx="169">
                  <c:v>1.0086039110654357</c:v>
                </c:pt>
                <c:pt idx="170">
                  <c:v>1.0083035523117625</c:v>
                </c:pt>
                <c:pt idx="171">
                  <c:v>1.0080541259172258</c:v>
                </c:pt>
                <c:pt idx="172">
                  <c:v>1.007844221994795</c:v>
                </c:pt>
                <c:pt idx="173">
                  <c:v>1.0076655381569239</c:v>
                </c:pt>
                <c:pt idx="174">
                  <c:v>1.0075118993644072</c:v>
                </c:pt>
                <c:pt idx="175">
                  <c:v>1.0072621062074574</c:v>
                </c:pt>
                <c:pt idx="176">
                  <c:v>1.0070686347837936</c:v>
                </c:pt>
                <c:pt idx="177">
                  <c:v>1.0069151189138879</c:v>
                </c:pt>
                <c:pt idx="178">
                  <c:v>1.006790854327311</c:v>
                </c:pt>
                <c:pt idx="179">
                  <c:v>1.0066885704182162</c:v>
                </c:pt>
                <c:pt idx="180">
                  <c:v>1.0066031709864112</c:v>
                </c:pt>
                <c:pt idx="181">
                  <c:v>1.006530987537636</c:v>
                </c:pt>
                <c:pt idx="182">
                  <c:v>1.0064693182742728</c:v>
                </c:pt>
                <c:pt idx="183">
                  <c:v>1.0063698817077127</c:v>
                </c:pt>
                <c:pt idx="184">
                  <c:v>1.0062936162313276</c:v>
                </c:pt>
                <c:pt idx="185">
                  <c:v>1.006233601008274</c:v>
                </c:pt>
                <c:pt idx="186">
                  <c:v>1.0061853657705717</c:v>
                </c:pt>
                <c:pt idx="187">
                  <c:v>1.006145907049891</c:v>
                </c:pt>
                <c:pt idx="188">
                  <c:v>1.0061131396144689</c:v>
                </c:pt>
                <c:pt idx="189">
                  <c:v>1.0060855750293536</c:v>
                </c:pt>
                <c:pt idx="190">
                  <c:v>1.0060621252936779</c:v>
                </c:pt>
                <c:pt idx="191">
                  <c:v>1.0060245179705132</c:v>
                </c:pt>
                <c:pt idx="192">
                  <c:v>1.005995853904385</c:v>
                </c:pt>
                <c:pt idx="193">
                  <c:v>1.0059734141892949</c:v>
                </c:pt>
                <c:pt idx="194">
                  <c:v>1.0059554577639542</c:v>
                </c:pt>
                <c:pt idx="195">
                  <c:v>1.0059408233881013</c:v>
                </c:pt>
                <c:pt idx="196">
                  <c:v>1.005928709895759</c:v>
                </c:pt>
                <c:pt idx="197">
                  <c:v>1.0059185485285225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30F-476B-8D44-C7263FA0A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75008"/>
        <c:axId val="156880896"/>
      </c:scatterChart>
      <c:valAx>
        <c:axId val="156875008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880896"/>
        <c:crosses val="autoZero"/>
        <c:crossBetween val="midCat"/>
      </c:valAx>
      <c:valAx>
        <c:axId val="156880896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875008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865729561582585"/>
          <c:y val="7.1583514099783085E-2"/>
          <c:w val="0.12089573247788465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675081286480982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'2_EGFP'!$F$1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'2_EGFP'!$A$3:$A$235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'2_EGFP'!$F$3:$F$200</c:f>
              <c:numCache>
                <c:formatCode>General</c:formatCode>
                <c:ptCount val="198"/>
                <c:pt idx="0">
                  <c:v>3.3553007645990007E-2</c:v>
                </c:pt>
                <c:pt idx="1">
                  <c:v>-1.8633499449667301E-3</c:v>
                </c:pt>
                <c:pt idx="2">
                  <c:v>2.7490574365144349E-2</c:v>
                </c:pt>
                <c:pt idx="3">
                  <c:v>-9.4545575024618245E-3</c:v>
                </c:pt>
                <c:pt idx="4">
                  <c:v>-1.9438098402502879E-2</c:v>
                </c:pt>
                <c:pt idx="5">
                  <c:v>2.5060584364243521E-2</c:v>
                </c:pt>
                <c:pt idx="6">
                  <c:v>-4.1178906265511017E-3</c:v>
                </c:pt>
                <c:pt idx="7">
                  <c:v>3.0070813925382467E-3</c:v>
                </c:pt>
                <c:pt idx="8">
                  <c:v>9.12609168896239E-3</c:v>
                </c:pt>
                <c:pt idx="9">
                  <c:v>-2.553028166841842E-2</c:v>
                </c:pt>
                <c:pt idx="10">
                  <c:v>-3.8611473514676531E-2</c:v>
                </c:pt>
                <c:pt idx="11">
                  <c:v>-7.5269313007357841E-3</c:v>
                </c:pt>
                <c:pt idx="12">
                  <c:v>1.3713885188275654E-2</c:v>
                </c:pt>
                <c:pt idx="13">
                  <c:v>-3.6258495891614784E-2</c:v>
                </c:pt>
                <c:pt idx="14">
                  <c:v>1.2916441825989278E-2</c:v>
                </c:pt>
                <c:pt idx="15">
                  <c:v>5.0028174445504447E-4</c:v>
                </c:pt>
                <c:pt idx="16">
                  <c:v>-1.5440690061921947E-2</c:v>
                </c:pt>
                <c:pt idx="17">
                  <c:v>5.1172590124628492E-3</c:v>
                </c:pt>
                <c:pt idx="18">
                  <c:v>-3.6223032043738446E-3</c:v>
                </c:pt>
                <c:pt idx="19">
                  <c:v>-1.9545966386834257E-2</c:v>
                </c:pt>
                <c:pt idx="20">
                  <c:v>-1.4304707577874609E-3</c:v>
                </c:pt>
                <c:pt idx="21">
                  <c:v>2.2027299558358138E-2</c:v>
                </c:pt>
                <c:pt idx="22">
                  <c:v>1.424032288910837E-2</c:v>
                </c:pt>
                <c:pt idx="23">
                  <c:v>-1.0596609666491563E-2</c:v>
                </c:pt>
                <c:pt idx="24">
                  <c:v>8.9000313962803723E-3</c:v>
                </c:pt>
                <c:pt idx="25">
                  <c:v>-1.6250293068078792E-2</c:v>
                </c:pt>
                <c:pt idx="26">
                  <c:v>1.2790197629328759E-2</c:v>
                </c:pt>
                <c:pt idx="27">
                  <c:v>-5.1122509005123717E-3</c:v>
                </c:pt>
                <c:pt idx="28">
                  <c:v>2.4872044342563182E-3</c:v>
                </c:pt>
                <c:pt idx="29">
                  <c:v>2.4172125318168813E-2</c:v>
                </c:pt>
                <c:pt idx="30">
                  <c:v>1.4744902681751881E-2</c:v>
                </c:pt>
                <c:pt idx="31">
                  <c:v>7.6683346575514566E-3</c:v>
                </c:pt>
                <c:pt idx="32">
                  <c:v>6.5768421589378345E-3</c:v>
                </c:pt>
                <c:pt idx="33">
                  <c:v>-1.4683339024662567E-2</c:v>
                </c:pt>
                <c:pt idx="34">
                  <c:v>-3.1691337141159792E-4</c:v>
                </c:pt>
                <c:pt idx="35">
                  <c:v>-5.707717777326371E-3</c:v>
                </c:pt>
                <c:pt idx="36">
                  <c:v>7.2427875447027557E-3</c:v>
                </c:pt>
                <c:pt idx="37">
                  <c:v>-4.4032212143072513E-3</c:v>
                </c:pt>
                <c:pt idx="38">
                  <c:v>-5.9788799085194189E-3</c:v>
                </c:pt>
                <c:pt idx="39">
                  <c:v>-2.0312911103870235E-4</c:v>
                </c:pt>
                <c:pt idx="40">
                  <c:v>2.6786293431968478E-3</c:v>
                </c:pt>
                <c:pt idx="41">
                  <c:v>1.6130379495009617E-3</c:v>
                </c:pt>
                <c:pt idx="42">
                  <c:v>-5.052490772216256E-3</c:v>
                </c:pt>
                <c:pt idx="43">
                  <c:v>5.1890869746671342E-3</c:v>
                </c:pt>
                <c:pt idx="44">
                  <c:v>-6.9593791471851407E-3</c:v>
                </c:pt>
                <c:pt idx="45">
                  <c:v>1.6835068897714356E-2</c:v>
                </c:pt>
                <c:pt idx="46">
                  <c:v>-2.221504453845613E-3</c:v>
                </c:pt>
                <c:pt idx="47">
                  <c:v>2.4139753933412056E-3</c:v>
                </c:pt>
                <c:pt idx="48">
                  <c:v>-5.3726811037635436E-4</c:v>
                </c:pt>
                <c:pt idx="49">
                  <c:v>-1.707349071879749E-3</c:v>
                </c:pt>
                <c:pt idx="50">
                  <c:v>-7.0118988277476646E-3</c:v>
                </c:pt>
                <c:pt idx="51">
                  <c:v>2.9568627049694207E-3</c:v>
                </c:pt>
                <c:pt idx="52">
                  <c:v>3.9834919355212772E-3</c:v>
                </c:pt>
                <c:pt idx="53">
                  <c:v>-9.3904385173204652E-4</c:v>
                </c:pt>
                <c:pt idx="54">
                  <c:v>-8.4185721271003988E-3</c:v>
                </c:pt>
                <c:pt idx="55">
                  <c:v>-2.8176944774283008E-4</c:v>
                </c:pt>
                <c:pt idx="56">
                  <c:v>-6.9541211849082352E-3</c:v>
                </c:pt>
                <c:pt idx="57">
                  <c:v>-6.5516377626906319E-4</c:v>
                </c:pt>
                <c:pt idx="58">
                  <c:v>-1.1525266453871197E-4</c:v>
                </c:pt>
                <c:pt idx="59">
                  <c:v>-5.0553702384519283E-3</c:v>
                </c:pt>
                <c:pt idx="60">
                  <c:v>-7.0670543287205678E-3</c:v>
                </c:pt>
                <c:pt idx="61">
                  <c:v>-5.012356709960919E-3</c:v>
                </c:pt>
                <c:pt idx="62">
                  <c:v>-4.8738101660228406E-3</c:v>
                </c:pt>
                <c:pt idx="63">
                  <c:v>-1.457531506853238E-3</c:v>
                </c:pt>
                <c:pt idx="64">
                  <c:v>9.3297065849040628E-4</c:v>
                </c:pt>
                <c:pt idx="65">
                  <c:v>-1.2571159117362729E-3</c:v>
                </c:pt>
                <c:pt idx="66">
                  <c:v>-4.279010514718351E-4</c:v>
                </c:pt>
                <c:pt idx="67">
                  <c:v>1.4558289088100196E-3</c:v>
                </c:pt>
                <c:pt idx="68">
                  <c:v>8.4351594144254083E-3</c:v>
                </c:pt>
                <c:pt idx="69">
                  <c:v>2.5975316771778001E-3</c:v>
                </c:pt>
                <c:pt idx="70">
                  <c:v>3.4371699214561513E-3</c:v>
                </c:pt>
                <c:pt idx="71">
                  <c:v>6.8912750244618515E-3</c:v>
                </c:pt>
                <c:pt idx="72">
                  <c:v>4.8701960533594768E-3</c:v>
                </c:pt>
                <c:pt idx="73">
                  <c:v>6.0051537312206804E-3</c:v>
                </c:pt>
                <c:pt idx="74">
                  <c:v>3.6028212480334609E-3</c:v>
                </c:pt>
                <c:pt idx="75">
                  <c:v>5.9607425516958745E-3</c:v>
                </c:pt>
                <c:pt idx="76">
                  <c:v>2.6915546449026717E-3</c:v>
                </c:pt>
                <c:pt idx="77">
                  <c:v>6.776277890157445E-3</c:v>
                </c:pt>
                <c:pt idx="78">
                  <c:v>5.0168800480252518E-3</c:v>
                </c:pt>
                <c:pt idx="79">
                  <c:v>6.689876610390888E-3</c:v>
                </c:pt>
                <c:pt idx="80">
                  <c:v>6.0208931575678193E-3</c:v>
                </c:pt>
                <c:pt idx="81">
                  <c:v>4.8751793384809172E-3</c:v>
                </c:pt>
                <c:pt idx="82">
                  <c:v>3.8545235381661769E-3</c:v>
                </c:pt>
                <c:pt idx="83">
                  <c:v>7.1039315814358517E-4</c:v>
                </c:pt>
                <c:pt idx="84">
                  <c:v>1.0519145200549307E-3</c:v>
                </c:pt>
                <c:pt idx="85">
                  <c:v>2.7007189885370764E-3</c:v>
                </c:pt>
                <c:pt idx="86">
                  <c:v>2.8538860032485402E-3</c:v>
                </c:pt>
                <c:pt idx="87">
                  <c:v>-1.0211122097405489E-3</c:v>
                </c:pt>
                <c:pt idx="88">
                  <c:v>1.4349847710113384E-3</c:v>
                </c:pt>
                <c:pt idx="89">
                  <c:v>1.6090303596443256E-3</c:v>
                </c:pt>
                <c:pt idx="90">
                  <c:v>-1.5862615581090367E-3</c:v>
                </c:pt>
                <c:pt idx="91">
                  <c:v>-1.0397080475688103E-3</c:v>
                </c:pt>
                <c:pt idx="92">
                  <c:v>-1.4106948204135605E-3</c:v>
                </c:pt>
                <c:pt idx="93">
                  <c:v>-1.1988211641960067E-3</c:v>
                </c:pt>
                <c:pt idx="94">
                  <c:v>-2.2937688618422936E-3</c:v>
                </c:pt>
                <c:pt idx="95">
                  <c:v>-1.8930076932550666E-3</c:v>
                </c:pt>
                <c:pt idx="96">
                  <c:v>-3.4462946174595999E-3</c:v>
                </c:pt>
                <c:pt idx="97">
                  <c:v>-3.4716353908159636E-3</c:v>
                </c:pt>
                <c:pt idx="98">
                  <c:v>-3.267122227415209E-3</c:v>
                </c:pt>
                <c:pt idx="99">
                  <c:v>-4.4709253670300875E-3</c:v>
                </c:pt>
                <c:pt idx="100">
                  <c:v>-4.4212886074095348E-3</c:v>
                </c:pt>
                <c:pt idx="101">
                  <c:v>-4.3065255738876651E-3</c:v>
                </c:pt>
                <c:pt idx="102">
                  <c:v>-4.8750162734092495E-3</c:v>
                </c:pt>
                <c:pt idx="103">
                  <c:v>-3.8755915814592257E-3</c:v>
                </c:pt>
                <c:pt idx="104">
                  <c:v>-4.3512638674769732E-3</c:v>
                </c:pt>
                <c:pt idx="105">
                  <c:v>-4.9111559646699554E-3</c:v>
                </c:pt>
                <c:pt idx="106">
                  <c:v>-5.1251845190134482E-3</c:v>
                </c:pt>
                <c:pt idx="107">
                  <c:v>-4.5139888715031162E-3</c:v>
                </c:pt>
                <c:pt idx="108">
                  <c:v>-4.888867451557255E-3</c:v>
                </c:pt>
                <c:pt idx="109">
                  <c:v>-5.8417207720680153E-3</c:v>
                </c:pt>
                <c:pt idx="110">
                  <c:v>-5.2850002403159735E-3</c:v>
                </c:pt>
                <c:pt idx="111">
                  <c:v>-4.8451259418009762E-3</c:v>
                </c:pt>
                <c:pt idx="112">
                  <c:v>-4.2682332042955906E-3</c:v>
                </c:pt>
                <c:pt idx="113">
                  <c:v>-3.9296074296859551E-3</c:v>
                </c:pt>
                <c:pt idx="114">
                  <c:v>-4.2998882832741003E-3</c:v>
                </c:pt>
                <c:pt idx="115">
                  <c:v>-4.1642915681137094E-3</c:v>
                </c:pt>
                <c:pt idx="116">
                  <c:v>-3.5419629668829167E-3</c:v>
                </c:pt>
                <c:pt idx="117">
                  <c:v>-2.865438295553524E-3</c:v>
                </c:pt>
                <c:pt idx="118">
                  <c:v>-2.5301903360899214E-3</c:v>
                </c:pt>
                <c:pt idx="119">
                  <c:v>-2.5078645187284199E-3</c:v>
                </c:pt>
                <c:pt idx="120">
                  <c:v>-1.5543538665734324E-3</c:v>
                </c:pt>
                <c:pt idx="121">
                  <c:v>-7.7678985563256475E-4</c:v>
                </c:pt>
                <c:pt idx="122">
                  <c:v>-4.739525169319414E-4</c:v>
                </c:pt>
                <c:pt idx="123">
                  <c:v>2.2829629974197019E-4</c:v>
                </c:pt>
                <c:pt idx="124">
                  <c:v>1.2104704429551916E-3</c:v>
                </c:pt>
                <c:pt idx="125">
                  <c:v>1.6321098508775833E-3</c:v>
                </c:pt>
                <c:pt idx="126">
                  <c:v>2.4838354033787091E-3</c:v>
                </c:pt>
                <c:pt idx="127">
                  <c:v>3.1947554374824882E-3</c:v>
                </c:pt>
                <c:pt idx="128">
                  <c:v>3.4331896326584843E-3</c:v>
                </c:pt>
                <c:pt idx="129">
                  <c:v>4.0306102645870645E-3</c:v>
                </c:pt>
                <c:pt idx="130">
                  <c:v>4.3497382520041317E-3</c:v>
                </c:pt>
                <c:pt idx="131">
                  <c:v>4.6578260302538865E-3</c:v>
                </c:pt>
                <c:pt idx="132">
                  <c:v>5.4758219636708017E-3</c:v>
                </c:pt>
                <c:pt idx="133">
                  <c:v>5.9848328816154428E-3</c:v>
                </c:pt>
                <c:pt idx="134">
                  <c:v>6.3207705486758581E-3</c:v>
                </c:pt>
                <c:pt idx="135">
                  <c:v>6.1306194446277829E-3</c:v>
                </c:pt>
                <c:pt idx="136">
                  <c:v>5.4780239700671363E-3</c:v>
                </c:pt>
                <c:pt idx="137">
                  <c:v>5.6083374446072032E-3</c:v>
                </c:pt>
                <c:pt idx="138">
                  <c:v>5.7627622330937989E-3</c:v>
                </c:pt>
                <c:pt idx="139">
                  <c:v>5.5988118825966993E-3</c:v>
                </c:pt>
                <c:pt idx="140">
                  <c:v>5.4934108354969258E-3</c:v>
                </c:pt>
                <c:pt idx="141">
                  <c:v>5.3715474298325905E-3</c:v>
                </c:pt>
                <c:pt idx="142">
                  <c:v>5.1521469059303548E-3</c:v>
                </c:pt>
                <c:pt idx="143">
                  <c:v>4.8694276895278055E-3</c:v>
                </c:pt>
                <c:pt idx="144">
                  <c:v>4.3638216015211562E-3</c:v>
                </c:pt>
                <c:pt idx="145">
                  <c:v>4.5435640560969048E-3</c:v>
                </c:pt>
                <c:pt idx="146">
                  <c:v>4.2204223232436E-3</c:v>
                </c:pt>
                <c:pt idx="147">
                  <c:v>2.7593887074939261E-3</c:v>
                </c:pt>
                <c:pt idx="148">
                  <c:v>1.180669852626437E-3</c:v>
                </c:pt>
                <c:pt idx="149">
                  <c:v>3.1727293814465263E-4</c:v>
                </c:pt>
                <c:pt idx="150">
                  <c:v>2.7996649486250469E-4</c:v>
                </c:pt>
                <c:pt idx="151">
                  <c:v>8.7449596962607679E-4</c:v>
                </c:pt>
                <c:pt idx="152">
                  <c:v>8.6929036157168404E-4</c:v>
                </c:pt>
                <c:pt idx="153">
                  <c:v>9.7586994732234977E-4</c:v>
                </c:pt>
                <c:pt idx="154">
                  <c:v>4.3731899591481493E-4</c:v>
                </c:pt>
                <c:pt idx="155">
                  <c:v>-6.8764687258493495E-4</c:v>
                </c:pt>
                <c:pt idx="156">
                  <c:v>-1.7263683249020279E-3</c:v>
                </c:pt>
                <c:pt idx="157">
                  <c:v>-1.8571137703595753E-3</c:v>
                </c:pt>
                <c:pt idx="158">
                  <c:v>-1.5657974854044188E-3</c:v>
                </c:pt>
                <c:pt idx="159">
                  <c:v>-1.6865615384398236E-3</c:v>
                </c:pt>
                <c:pt idx="160">
                  <c:v>-8.8208179490822936E-4</c:v>
                </c:pt>
                <c:pt idx="161">
                  <c:v>-6.036282819505967E-4</c:v>
                </c:pt>
                <c:pt idx="162">
                  <c:v>-4.1493591506669425E-4</c:v>
                </c:pt>
                <c:pt idx="163">
                  <c:v>-1.0237512667705673E-3</c:v>
                </c:pt>
                <c:pt idx="164">
                  <c:v>-1.9969235011600972E-3</c:v>
                </c:pt>
                <c:pt idx="165">
                  <c:v>-1.5474202683918303E-3</c:v>
                </c:pt>
                <c:pt idx="166">
                  <c:v>-8.9244271794752805E-4</c:v>
                </c:pt>
                <c:pt idx="167">
                  <c:v>4.3094110144092923E-4</c:v>
                </c:pt>
                <c:pt idx="168">
                  <c:v>-8.0128841689131036E-4</c:v>
                </c:pt>
                <c:pt idx="169">
                  <c:v>-2.2239110654356242E-3</c:v>
                </c:pt>
                <c:pt idx="170">
                  <c:v>-1.8735523117625608E-3</c:v>
                </c:pt>
                <c:pt idx="171">
                  <c:v>-2.6941259172257315E-3</c:v>
                </c:pt>
                <c:pt idx="172">
                  <c:v>-2.5842219947949108E-3</c:v>
                </c:pt>
                <c:pt idx="173">
                  <c:v>-1.7355381569239547E-3</c:v>
                </c:pt>
                <c:pt idx="174">
                  <c:v>-2.7618993644071832E-3</c:v>
                </c:pt>
                <c:pt idx="175">
                  <c:v>-1.8121062074574201E-3</c:v>
                </c:pt>
                <c:pt idx="176">
                  <c:v>-1.8186347837936268E-3</c:v>
                </c:pt>
                <c:pt idx="177">
                  <c:v>-2.3051189138878492E-3</c:v>
                </c:pt>
                <c:pt idx="178">
                  <c:v>-2.4108543273109184E-3</c:v>
                </c:pt>
                <c:pt idx="179">
                  <c:v>-3.3685704182162546E-3</c:v>
                </c:pt>
                <c:pt idx="180">
                  <c:v>-3.9231709864111508E-3</c:v>
                </c:pt>
                <c:pt idx="181">
                  <c:v>-3.6209875376360667E-3</c:v>
                </c:pt>
                <c:pt idx="182">
                  <c:v>-2.5393182742727838E-3</c:v>
                </c:pt>
                <c:pt idx="183">
                  <c:v>-3.3298817077127563E-3</c:v>
                </c:pt>
                <c:pt idx="184">
                  <c:v>-2.7636162313275925E-3</c:v>
                </c:pt>
                <c:pt idx="185">
                  <c:v>-2.2736010082740066E-3</c:v>
                </c:pt>
                <c:pt idx="186">
                  <c:v>-3.4353657705716856E-3</c:v>
                </c:pt>
                <c:pt idx="187">
                  <c:v>-2.4959070498911107E-3</c:v>
                </c:pt>
                <c:pt idx="188">
                  <c:v>-2.4631396144689788E-3</c:v>
                </c:pt>
                <c:pt idx="189">
                  <c:v>-3.4955750293534926E-3</c:v>
                </c:pt>
                <c:pt idx="190">
                  <c:v>-3.4021252936777824E-3</c:v>
                </c:pt>
                <c:pt idx="191">
                  <c:v>-3.7245179705132081E-3</c:v>
                </c:pt>
                <c:pt idx="192">
                  <c:v>-2.7858539043850161E-3</c:v>
                </c:pt>
                <c:pt idx="193">
                  <c:v>-3.0934141892948741E-3</c:v>
                </c:pt>
                <c:pt idx="194">
                  <c:v>-4.2654577639542612E-3</c:v>
                </c:pt>
                <c:pt idx="195">
                  <c:v>-2.9208233881012902E-3</c:v>
                </c:pt>
                <c:pt idx="196">
                  <c:v>-2.9487098957590163E-3</c:v>
                </c:pt>
                <c:pt idx="197">
                  <c:v>-3.6885485285225172E-3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544-4684-9289-CD29AB01D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41344"/>
        <c:axId val="157242880"/>
      </c:scatterChart>
      <c:valAx>
        <c:axId val="157241344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242880"/>
        <c:crosses val="autoZero"/>
        <c:crossBetween val="midCat"/>
      </c:valAx>
      <c:valAx>
        <c:axId val="15724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241344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0895514727325749"/>
          <c:y val="0.12280701754385964"/>
          <c:w val="0.12089557694177117"/>
          <c:h val="9.941520467836256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078066361107841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'1_EGFP+Rh110'!$B$1</c:f>
              <c:strCache>
                <c:ptCount val="1"/>
                <c:pt idx="0">
                  <c:v>mixknown1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'1_EGFP+Rh110'!$A$2:$A$252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'1_EGFP+Rh110'!$B$2:$B$252</c:f>
              <c:numCache>
                <c:formatCode>General</c:formatCode>
                <c:ptCount val="251"/>
                <c:pt idx="0">
                  <c:v>1.2793600000000001</c:v>
                </c:pt>
                <c:pt idx="1">
                  <c:v>1.35561</c:v>
                </c:pt>
                <c:pt idx="2">
                  <c:v>1.38958</c:v>
                </c:pt>
                <c:pt idx="3">
                  <c:v>1.3783399999999999</c:v>
                </c:pt>
                <c:pt idx="4">
                  <c:v>1.35781</c:v>
                </c:pt>
                <c:pt idx="5">
                  <c:v>1.37418</c:v>
                </c:pt>
                <c:pt idx="6">
                  <c:v>1.34877</c:v>
                </c:pt>
                <c:pt idx="7">
                  <c:v>1.33924</c:v>
                </c:pt>
                <c:pt idx="8">
                  <c:v>1.3443700000000001</c:v>
                </c:pt>
                <c:pt idx="9">
                  <c:v>1.32555</c:v>
                </c:pt>
                <c:pt idx="10">
                  <c:v>1.36734</c:v>
                </c:pt>
                <c:pt idx="11">
                  <c:v>1.3666100000000001</c:v>
                </c:pt>
                <c:pt idx="12">
                  <c:v>1.3761399999999999</c:v>
                </c:pt>
                <c:pt idx="13">
                  <c:v>1.36025</c:v>
                </c:pt>
                <c:pt idx="14">
                  <c:v>1.3399700000000001</c:v>
                </c:pt>
                <c:pt idx="15">
                  <c:v>1.3393600000000001</c:v>
                </c:pt>
                <c:pt idx="16">
                  <c:v>1.3411900000000001</c:v>
                </c:pt>
                <c:pt idx="17">
                  <c:v>1.3458300000000001</c:v>
                </c:pt>
                <c:pt idx="18">
                  <c:v>1.35561</c:v>
                </c:pt>
                <c:pt idx="19">
                  <c:v>1.3424100000000001</c:v>
                </c:pt>
                <c:pt idx="20">
                  <c:v>1.32799</c:v>
                </c:pt>
                <c:pt idx="21">
                  <c:v>1.3298300000000001</c:v>
                </c:pt>
                <c:pt idx="22">
                  <c:v>1.3507199999999999</c:v>
                </c:pt>
                <c:pt idx="23">
                  <c:v>1.3343499999999999</c:v>
                </c:pt>
                <c:pt idx="24">
                  <c:v>1.3361799999999999</c:v>
                </c:pt>
                <c:pt idx="25">
                  <c:v>1.34168</c:v>
                </c:pt>
                <c:pt idx="26">
                  <c:v>1.3382000000000001</c:v>
                </c:pt>
                <c:pt idx="27">
                  <c:v>1.3457699999999999</c:v>
                </c:pt>
                <c:pt idx="28">
                  <c:v>1.3171200000000001</c:v>
                </c:pt>
                <c:pt idx="29">
                  <c:v>1.3358099999999999</c:v>
                </c:pt>
                <c:pt idx="30">
                  <c:v>1.3441799999999999</c:v>
                </c:pt>
                <c:pt idx="31">
                  <c:v>1.3395699999999999</c:v>
                </c:pt>
                <c:pt idx="32">
                  <c:v>1.34483</c:v>
                </c:pt>
                <c:pt idx="33">
                  <c:v>1.3440300000000001</c:v>
                </c:pt>
                <c:pt idx="34">
                  <c:v>1.32802</c:v>
                </c:pt>
                <c:pt idx="35">
                  <c:v>1.3424700000000001</c:v>
                </c:pt>
                <c:pt idx="36">
                  <c:v>1.3337399999999999</c:v>
                </c:pt>
                <c:pt idx="37">
                  <c:v>1.3361499999999999</c:v>
                </c:pt>
                <c:pt idx="38">
                  <c:v>1.32582</c:v>
                </c:pt>
                <c:pt idx="39">
                  <c:v>1.32575</c:v>
                </c:pt>
                <c:pt idx="40">
                  <c:v>1.33091</c:v>
                </c:pt>
                <c:pt idx="41">
                  <c:v>1.3316600000000001</c:v>
                </c:pt>
                <c:pt idx="42">
                  <c:v>1.3254300000000001</c:v>
                </c:pt>
                <c:pt idx="43">
                  <c:v>1.3400799999999999</c:v>
                </c:pt>
                <c:pt idx="44">
                  <c:v>1.3290599999999999</c:v>
                </c:pt>
                <c:pt idx="45">
                  <c:v>1.31901</c:v>
                </c:pt>
                <c:pt idx="46">
                  <c:v>1.3245400000000001</c:v>
                </c:pt>
                <c:pt idx="47">
                  <c:v>1.32317</c:v>
                </c:pt>
                <c:pt idx="48">
                  <c:v>1.3231200000000001</c:v>
                </c:pt>
                <c:pt idx="49">
                  <c:v>1.3193299999999999</c:v>
                </c:pt>
                <c:pt idx="50">
                  <c:v>1.3201000000000001</c:v>
                </c:pt>
                <c:pt idx="51">
                  <c:v>1.3125100000000001</c:v>
                </c:pt>
                <c:pt idx="52">
                  <c:v>1.31708</c:v>
                </c:pt>
                <c:pt idx="53">
                  <c:v>1.31843</c:v>
                </c:pt>
                <c:pt idx="54">
                  <c:v>1.31206</c:v>
                </c:pt>
                <c:pt idx="55">
                  <c:v>1.31199</c:v>
                </c:pt>
                <c:pt idx="56">
                  <c:v>1.3111600000000001</c:v>
                </c:pt>
                <c:pt idx="57">
                  <c:v>1.30609</c:v>
                </c:pt>
                <c:pt idx="58">
                  <c:v>1.3087299999999999</c:v>
                </c:pt>
                <c:pt idx="59">
                  <c:v>1.30704</c:v>
                </c:pt>
                <c:pt idx="60">
                  <c:v>1.3054300000000001</c:v>
                </c:pt>
                <c:pt idx="61">
                  <c:v>1.3017799999999999</c:v>
                </c:pt>
                <c:pt idx="62">
                  <c:v>1.3064</c:v>
                </c:pt>
                <c:pt idx="63">
                  <c:v>1.30118</c:v>
                </c:pt>
                <c:pt idx="64">
                  <c:v>1.3004</c:v>
                </c:pt>
                <c:pt idx="65">
                  <c:v>1.2964599999999999</c:v>
                </c:pt>
                <c:pt idx="66">
                  <c:v>1.29633</c:v>
                </c:pt>
                <c:pt idx="67">
                  <c:v>1.29451</c:v>
                </c:pt>
                <c:pt idx="68">
                  <c:v>1.29314</c:v>
                </c:pt>
                <c:pt idx="69">
                  <c:v>1.29386</c:v>
                </c:pt>
                <c:pt idx="70">
                  <c:v>1.2934099999999999</c:v>
                </c:pt>
                <c:pt idx="71">
                  <c:v>1.2935300000000001</c:v>
                </c:pt>
                <c:pt idx="72">
                  <c:v>1.2922</c:v>
                </c:pt>
                <c:pt idx="73">
                  <c:v>1.2901899999999999</c:v>
                </c:pt>
                <c:pt idx="74">
                  <c:v>1.28905</c:v>
                </c:pt>
                <c:pt idx="75">
                  <c:v>1.2875099999999999</c:v>
                </c:pt>
                <c:pt idx="76">
                  <c:v>1.2855700000000001</c:v>
                </c:pt>
                <c:pt idx="77">
                  <c:v>1.28413</c:v>
                </c:pt>
                <c:pt idx="78">
                  <c:v>1.2814300000000001</c:v>
                </c:pt>
                <c:pt idx="79">
                  <c:v>1.2807900000000001</c:v>
                </c:pt>
                <c:pt idx="80">
                  <c:v>1.2780400000000001</c:v>
                </c:pt>
                <c:pt idx="81">
                  <c:v>1.2760899999999999</c:v>
                </c:pt>
                <c:pt idx="82">
                  <c:v>1.27359</c:v>
                </c:pt>
                <c:pt idx="83">
                  <c:v>1.2714399999999999</c:v>
                </c:pt>
                <c:pt idx="84">
                  <c:v>1.27172</c:v>
                </c:pt>
                <c:pt idx="85">
                  <c:v>1.26739</c:v>
                </c:pt>
                <c:pt idx="86">
                  <c:v>1.2658499999999999</c:v>
                </c:pt>
                <c:pt idx="87">
                  <c:v>1.2638199999999999</c:v>
                </c:pt>
                <c:pt idx="88">
                  <c:v>1.2604299999999999</c:v>
                </c:pt>
                <c:pt idx="89">
                  <c:v>1.25637</c:v>
                </c:pt>
                <c:pt idx="90">
                  <c:v>1.2532799999999999</c:v>
                </c:pt>
                <c:pt idx="91">
                  <c:v>1.2502500000000001</c:v>
                </c:pt>
                <c:pt idx="92">
                  <c:v>1.2474799999999999</c:v>
                </c:pt>
                <c:pt idx="93">
                  <c:v>1.2447999999999999</c:v>
                </c:pt>
                <c:pt idx="94">
                  <c:v>1.2420800000000001</c:v>
                </c:pt>
                <c:pt idx="95">
                  <c:v>1.2387300000000001</c:v>
                </c:pt>
                <c:pt idx="96">
                  <c:v>1.2327600000000001</c:v>
                </c:pt>
                <c:pt idx="97">
                  <c:v>1.2285299999999999</c:v>
                </c:pt>
                <c:pt idx="98">
                  <c:v>1.2228399999999999</c:v>
                </c:pt>
                <c:pt idx="99">
                  <c:v>1.2186699999999999</c:v>
                </c:pt>
                <c:pt idx="100">
                  <c:v>1.2140200000000001</c:v>
                </c:pt>
                <c:pt idx="101">
                  <c:v>1.2093400000000001</c:v>
                </c:pt>
                <c:pt idx="102">
                  <c:v>1.2057800000000001</c:v>
                </c:pt>
                <c:pt idx="103">
                  <c:v>1.20173</c:v>
                </c:pt>
                <c:pt idx="104">
                  <c:v>1.1951799999999999</c:v>
                </c:pt>
                <c:pt idx="105">
                  <c:v>1.1884699999999999</c:v>
                </c:pt>
                <c:pt idx="106">
                  <c:v>1.1822699999999999</c:v>
                </c:pt>
                <c:pt idx="107">
                  <c:v>1.17719</c:v>
                </c:pt>
                <c:pt idx="108">
                  <c:v>1.1718299999999999</c:v>
                </c:pt>
                <c:pt idx="109">
                  <c:v>1.1669099999999999</c:v>
                </c:pt>
                <c:pt idx="110">
                  <c:v>1.16195</c:v>
                </c:pt>
                <c:pt idx="111">
                  <c:v>1.1579900000000001</c:v>
                </c:pt>
                <c:pt idx="112">
                  <c:v>1.15005</c:v>
                </c:pt>
                <c:pt idx="113">
                  <c:v>1.14307</c:v>
                </c:pt>
                <c:pt idx="114">
                  <c:v>1.1367400000000001</c:v>
                </c:pt>
                <c:pt idx="115">
                  <c:v>1.1308199999999999</c:v>
                </c:pt>
                <c:pt idx="116">
                  <c:v>1.1256200000000001</c:v>
                </c:pt>
                <c:pt idx="117">
                  <c:v>1.1207400000000001</c:v>
                </c:pt>
                <c:pt idx="118">
                  <c:v>1.1165</c:v>
                </c:pt>
                <c:pt idx="119">
                  <c:v>1.1123499999999999</c:v>
                </c:pt>
                <c:pt idx="120">
                  <c:v>1.10494</c:v>
                </c:pt>
                <c:pt idx="121">
                  <c:v>1.09839</c:v>
                </c:pt>
                <c:pt idx="122">
                  <c:v>1.0928800000000001</c:v>
                </c:pt>
                <c:pt idx="123">
                  <c:v>1.0881400000000001</c:v>
                </c:pt>
                <c:pt idx="124">
                  <c:v>1.0836699999999999</c:v>
                </c:pt>
                <c:pt idx="125">
                  <c:v>1.0799799999999999</c:v>
                </c:pt>
                <c:pt idx="126">
                  <c:v>1.07609</c:v>
                </c:pt>
                <c:pt idx="127">
                  <c:v>1.0728899999999999</c:v>
                </c:pt>
                <c:pt idx="128">
                  <c:v>1.06701</c:v>
                </c:pt>
                <c:pt idx="129">
                  <c:v>1.06253</c:v>
                </c:pt>
                <c:pt idx="130">
                  <c:v>1.0582400000000001</c:v>
                </c:pt>
                <c:pt idx="131">
                  <c:v>1.0545599999999999</c:v>
                </c:pt>
                <c:pt idx="132">
                  <c:v>1.0514399999999999</c:v>
                </c:pt>
                <c:pt idx="133">
                  <c:v>1.04871</c:v>
                </c:pt>
                <c:pt idx="134">
                  <c:v>1.0462800000000001</c:v>
                </c:pt>
                <c:pt idx="135">
                  <c:v>1.04399</c:v>
                </c:pt>
                <c:pt idx="136">
                  <c:v>1.03983</c:v>
                </c:pt>
                <c:pt idx="137">
                  <c:v>1.0366200000000001</c:v>
                </c:pt>
                <c:pt idx="138">
                  <c:v>1.0342</c:v>
                </c:pt>
                <c:pt idx="139">
                  <c:v>1.0315799999999999</c:v>
                </c:pt>
                <c:pt idx="140">
                  <c:v>1.02946</c:v>
                </c:pt>
                <c:pt idx="141">
                  <c:v>1.0276799999999999</c:v>
                </c:pt>
                <c:pt idx="142">
                  <c:v>1.0262100000000001</c:v>
                </c:pt>
                <c:pt idx="143">
                  <c:v>1.0248600000000001</c:v>
                </c:pt>
                <c:pt idx="144">
                  <c:v>1.0223199999999999</c:v>
                </c:pt>
                <c:pt idx="145">
                  <c:v>1.02047</c:v>
                </c:pt>
                <c:pt idx="146">
                  <c:v>1.01953</c:v>
                </c:pt>
                <c:pt idx="147">
                  <c:v>1.0182500000000001</c:v>
                </c:pt>
                <c:pt idx="148">
                  <c:v>1.01658</c:v>
                </c:pt>
                <c:pt idx="149">
                  <c:v>1.0152600000000001</c:v>
                </c:pt>
                <c:pt idx="150">
                  <c:v>1.0142800000000001</c:v>
                </c:pt>
                <c:pt idx="151">
                  <c:v>1.0130300000000001</c:v>
                </c:pt>
                <c:pt idx="152">
                  <c:v>1.0116099999999999</c:v>
                </c:pt>
                <c:pt idx="153">
                  <c:v>1.0100899999999999</c:v>
                </c:pt>
                <c:pt idx="154">
                  <c:v>1.0088600000000001</c:v>
                </c:pt>
                <c:pt idx="155">
                  <c:v>1.0079199999999999</c:v>
                </c:pt>
                <c:pt idx="156">
                  <c:v>1.00647</c:v>
                </c:pt>
                <c:pt idx="157">
                  <c:v>1.00654</c:v>
                </c:pt>
                <c:pt idx="158">
                  <c:v>1.00613</c:v>
                </c:pt>
                <c:pt idx="159">
                  <c:v>1.00657</c:v>
                </c:pt>
                <c:pt idx="160">
                  <c:v>1.00604</c:v>
                </c:pt>
                <c:pt idx="161">
                  <c:v>1.0054399999999999</c:v>
                </c:pt>
                <c:pt idx="162">
                  <c:v>1.0050699999999999</c:v>
                </c:pt>
                <c:pt idx="163">
                  <c:v>1.0049300000000001</c:v>
                </c:pt>
                <c:pt idx="164">
                  <c:v>1.0043299999999999</c:v>
                </c:pt>
                <c:pt idx="165">
                  <c:v>1.0033399999999999</c:v>
                </c:pt>
                <c:pt idx="166">
                  <c:v>1.0032700000000001</c:v>
                </c:pt>
                <c:pt idx="167">
                  <c:v>1.00271</c:v>
                </c:pt>
                <c:pt idx="168">
                  <c:v>1.00238</c:v>
                </c:pt>
                <c:pt idx="169">
                  <c:v>1.00136</c:v>
                </c:pt>
                <c:pt idx="170">
                  <c:v>1.0009399999999999</c:v>
                </c:pt>
                <c:pt idx="171">
                  <c:v>1.0011699999999999</c:v>
                </c:pt>
                <c:pt idx="172">
                  <c:v>1.0010399999999999</c:v>
                </c:pt>
                <c:pt idx="173">
                  <c:v>1.0007699999999999</c:v>
                </c:pt>
                <c:pt idx="174">
                  <c:v>1.0007999999999999</c:v>
                </c:pt>
                <c:pt idx="175">
                  <c:v>1.00153</c:v>
                </c:pt>
                <c:pt idx="176">
                  <c:v>1.0006900000000001</c:v>
                </c:pt>
                <c:pt idx="177">
                  <c:v>1.00027</c:v>
                </c:pt>
                <c:pt idx="178">
                  <c:v>1.00075</c:v>
                </c:pt>
                <c:pt idx="179">
                  <c:v>1.00024</c:v>
                </c:pt>
                <c:pt idx="180">
                  <c:v>1.0004299999999999</c:v>
                </c:pt>
                <c:pt idx="181">
                  <c:v>1.0008300000000001</c:v>
                </c:pt>
                <c:pt idx="182">
                  <c:v>1.00091</c:v>
                </c:pt>
                <c:pt idx="183">
                  <c:v>1.00034</c:v>
                </c:pt>
                <c:pt idx="184">
                  <c:v>1.0004900000000001</c:v>
                </c:pt>
                <c:pt idx="185">
                  <c:v>1.00068</c:v>
                </c:pt>
                <c:pt idx="186">
                  <c:v>1.00058</c:v>
                </c:pt>
                <c:pt idx="187">
                  <c:v>1.00082</c:v>
                </c:pt>
                <c:pt idx="188">
                  <c:v>1.00139</c:v>
                </c:pt>
                <c:pt idx="189">
                  <c:v>1.00149</c:v>
                </c:pt>
                <c:pt idx="190">
                  <c:v>1.00105</c:v>
                </c:pt>
                <c:pt idx="191">
                  <c:v>1.0010600000000001</c:v>
                </c:pt>
                <c:pt idx="192">
                  <c:v>1.00126</c:v>
                </c:pt>
                <c:pt idx="193">
                  <c:v>1.00003</c:v>
                </c:pt>
                <c:pt idx="194">
                  <c:v>1.00038</c:v>
                </c:pt>
                <c:pt idx="195">
                  <c:v>1.00153</c:v>
                </c:pt>
                <c:pt idx="196">
                  <c:v>1.0011000000000001</c:v>
                </c:pt>
                <c:pt idx="197">
                  <c:v>1.0009699999999999</c:v>
                </c:pt>
                <c:pt idx="198">
                  <c:v>1.00099</c:v>
                </c:pt>
                <c:pt idx="199">
                  <c:v>1.00105</c:v>
                </c:pt>
                <c:pt idx="200">
                  <c:v>1.0004500000000001</c:v>
                </c:pt>
                <c:pt idx="201">
                  <c:v>1.00038</c:v>
                </c:pt>
                <c:pt idx="202">
                  <c:v>1.00082</c:v>
                </c:pt>
                <c:pt idx="203">
                  <c:v>1.00057</c:v>
                </c:pt>
                <c:pt idx="204">
                  <c:v>1.0004200000000001</c:v>
                </c:pt>
                <c:pt idx="205">
                  <c:v>1.0008300000000001</c:v>
                </c:pt>
                <c:pt idx="206">
                  <c:v>1.00038</c:v>
                </c:pt>
                <c:pt idx="207">
                  <c:v>1.0004999999999999</c:v>
                </c:pt>
                <c:pt idx="208">
                  <c:v>1.0006200000000001</c:v>
                </c:pt>
                <c:pt idx="209">
                  <c:v>1.0012099999999999</c:v>
                </c:pt>
                <c:pt idx="210">
                  <c:v>1.0006900000000001</c:v>
                </c:pt>
                <c:pt idx="211">
                  <c:v>1.00078</c:v>
                </c:pt>
                <c:pt idx="212">
                  <c:v>1.0010699999999999</c:v>
                </c:pt>
                <c:pt idx="213">
                  <c:v>1.00162</c:v>
                </c:pt>
                <c:pt idx="214">
                  <c:v>1.00156</c:v>
                </c:pt>
                <c:pt idx="215">
                  <c:v>1.0013799999999999</c:v>
                </c:pt>
                <c:pt idx="216">
                  <c:v>1.00179</c:v>
                </c:pt>
                <c:pt idx="217">
                  <c:v>1.0021800000000001</c:v>
                </c:pt>
                <c:pt idx="218">
                  <c:v>1.0021100000000001</c:v>
                </c:pt>
                <c:pt idx="219">
                  <c:v>1.0021199999999999</c:v>
                </c:pt>
                <c:pt idx="220">
                  <c:v>1.0023200000000001</c:v>
                </c:pt>
                <c:pt idx="221">
                  <c:v>1.00291</c:v>
                </c:pt>
                <c:pt idx="222">
                  <c:v>1.0032000000000001</c:v>
                </c:pt>
                <c:pt idx="223">
                  <c:v>1.00352</c:v>
                </c:pt>
                <c:pt idx="224">
                  <c:v>1.00427</c:v>
                </c:pt>
                <c:pt idx="225">
                  <c:v>1.0046299999999999</c:v>
                </c:pt>
                <c:pt idx="226">
                  <c:v>1.0044999999999999</c:v>
                </c:pt>
                <c:pt idx="227">
                  <c:v>1.0045599999999999</c:v>
                </c:pt>
                <c:pt idx="228">
                  <c:v>1.0045500000000001</c:v>
                </c:pt>
                <c:pt idx="229">
                  <c:v>1.00546</c:v>
                </c:pt>
                <c:pt idx="230">
                  <c:v>1.0059899999999999</c:v>
                </c:pt>
                <c:pt idx="231">
                  <c:v>1.0065900000000001</c:v>
                </c:pt>
                <c:pt idx="232">
                  <c:v>1.0073099999999999</c:v>
                </c:pt>
                <c:pt idx="233">
                  <c:v>1.0071000000000001</c:v>
                </c:pt>
                <c:pt idx="234">
                  <c:v>1.0080100000000001</c:v>
                </c:pt>
                <c:pt idx="235">
                  <c:v>1.0082</c:v>
                </c:pt>
                <c:pt idx="236">
                  <c:v>1.00807</c:v>
                </c:pt>
                <c:pt idx="237">
                  <c:v>1.00926</c:v>
                </c:pt>
                <c:pt idx="238">
                  <c:v>1.0100100000000001</c:v>
                </c:pt>
                <c:pt idx="239">
                  <c:v>1.01078</c:v>
                </c:pt>
                <c:pt idx="240">
                  <c:v>1.0103599999999999</c:v>
                </c:pt>
                <c:pt idx="241">
                  <c:v>1.01027</c:v>
                </c:pt>
                <c:pt idx="242">
                  <c:v>1.0098100000000001</c:v>
                </c:pt>
                <c:pt idx="243">
                  <c:v>1.01007</c:v>
                </c:pt>
                <c:pt idx="244">
                  <c:v>1.0099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626-4DA8-A3F0-BAE0A2B7D602}"/>
            </c:ext>
          </c:extLst>
        </c:ser>
        <c:ser>
          <c:idx val="1"/>
          <c:order val="1"/>
          <c:tx>
            <c:strRef>
              <c:f>'1_EGFP+Rh110'!$E$1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'1_EGFP+Rh110'!$A$3:$A$252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'1_EGFP+Rh110'!$E$3:$E$200</c:f>
              <c:numCache>
                <c:formatCode>General</c:formatCode>
                <c:ptCount val="198"/>
                <c:pt idx="0">
                  <c:v>1.3724626207220267</c:v>
                </c:pt>
                <c:pt idx="1">
                  <c:v>1.3692474253019058</c:v>
                </c:pt>
                <c:pt idx="2">
                  <c:v>1.3663443320327835</c:v>
                </c:pt>
                <c:pt idx="3">
                  <c:v>1.3637223192621475</c:v>
                </c:pt>
                <c:pt idx="4">
                  <c:v>1.3613534499441204</c:v>
                </c:pt>
                <c:pt idx="5">
                  <c:v>1.3592125649227085</c:v>
                </c:pt>
                <c:pt idx="6">
                  <c:v>1.3572770067133244</c:v>
                </c:pt>
                <c:pt idx="7">
                  <c:v>1.3555263707499978</c:v>
                </c:pt>
                <c:pt idx="8">
                  <c:v>1.3539422813672355</c:v>
                </c:pt>
                <c:pt idx="9">
                  <c:v>1.352508190057045</c:v>
                </c:pt>
                <c:pt idx="10">
                  <c:v>1.3512091937862027</c:v>
                </c:pt>
                <c:pt idx="11">
                  <c:v>1.3500318713790813</c:v>
                </c:pt>
                <c:pt idx="12">
                  <c:v>1.3489641361696925</c:v>
                </c:pt>
                <c:pt idx="13">
                  <c:v>1.347995103305224</c:v>
                </c:pt>
                <c:pt idx="14">
                  <c:v>1.3471149702442031</c:v>
                </c:pt>
                <c:pt idx="15">
                  <c:v>1.3455869699091063</c:v>
                </c:pt>
                <c:pt idx="16">
                  <c:v>1.3443195306495994</c:v>
                </c:pt>
                <c:pt idx="17">
                  <c:v>1.3432635008115541</c:v>
                </c:pt>
                <c:pt idx="18">
                  <c:v>1.3423790172175099</c:v>
                </c:pt>
                <c:pt idx="19">
                  <c:v>1.3416337498123942</c:v>
                </c:pt>
                <c:pt idx="20">
                  <c:v>1.3410014780396853</c:v>
                </c:pt>
                <c:pt idx="21">
                  <c:v>1.34046093625692</c:v>
                </c:pt>
                <c:pt idx="22">
                  <c:v>1.3399948773469403</c:v>
                </c:pt>
                <c:pt idx="23">
                  <c:v>1.3392328992529206</c:v>
                </c:pt>
                <c:pt idx="24">
                  <c:v>1.3386324551621915</c:v>
                </c:pt>
                <c:pt idx="25">
                  <c:v>1.3381388892648913</c:v>
                </c:pt>
                <c:pt idx="26">
                  <c:v>1.3377162474487261</c:v>
                </c:pt>
                <c:pt idx="27">
                  <c:v>1.3373408766743478</c:v>
                </c:pt>
                <c:pt idx="28">
                  <c:v>1.3369972149634426</c:v>
                </c:pt>
                <c:pt idx="29">
                  <c:v>1.3366750222626116</c:v>
                </c:pt>
                <c:pt idx="30">
                  <c:v>1.3363675590434985</c:v>
                </c:pt>
                <c:pt idx="31">
                  <c:v>1.3357805874289796</c:v>
                </c:pt>
                <c:pt idx="32">
                  <c:v>1.3352160453826665</c:v>
                </c:pt>
                <c:pt idx="33">
                  <c:v>1.3346651166999568</c:v>
                </c:pt>
                <c:pt idx="34">
                  <c:v>1.3341239346068958</c:v>
                </c:pt>
                <c:pt idx="35">
                  <c:v>1.3335907743360398</c:v>
                </c:pt>
                <c:pt idx="36">
                  <c:v>1.3330648385261559</c:v>
                </c:pt>
                <c:pt idx="37">
                  <c:v>1.3325457317338418</c:v>
                </c:pt>
                <c:pt idx="38">
                  <c:v>1.3320332330794169</c:v>
                </c:pt>
                <c:pt idx="39">
                  <c:v>1.3310275150635913</c:v>
                </c:pt>
                <c:pt idx="40">
                  <c:v>1.3300468303865505</c:v>
                </c:pt>
                <c:pt idx="41">
                  <c:v>1.3290904799930865</c:v>
                </c:pt>
                <c:pt idx="42">
                  <c:v>1.3281578082733985</c:v>
                </c:pt>
                <c:pt idx="43">
                  <c:v>1.3272481817900634</c:v>
                </c:pt>
                <c:pt idx="44">
                  <c:v>1.3263609849205544</c:v>
                </c:pt>
                <c:pt idx="45">
                  <c:v>1.3254956186759546</c:v>
                </c:pt>
                <c:pt idx="46">
                  <c:v>1.324651500123958</c:v>
                </c:pt>
                <c:pt idx="47">
                  <c:v>1.3230247519576264</c:v>
                </c:pt>
                <c:pt idx="48">
                  <c:v>1.3214763815113175</c:v>
                </c:pt>
                <c:pt idx="49">
                  <c:v>1.3200022600012891</c:v>
                </c:pt>
                <c:pt idx="50">
                  <c:v>1.318598476616657</c:v>
                </c:pt>
                <c:pt idx="51">
                  <c:v>1.3172613270095233</c:v>
                </c:pt>
                <c:pt idx="52">
                  <c:v>1.3159873023930149</c:v>
                </c:pt>
                <c:pt idx="53">
                  <c:v>1.3147730792150605</c:v>
                </c:pt>
                <c:pt idx="54">
                  <c:v>1.3136155093774944</c:v>
                </c:pt>
                <c:pt idx="55">
                  <c:v>1.3114585595034014</c:v>
                </c:pt>
                <c:pt idx="56">
                  <c:v>1.3094944370431079</c:v>
                </c:pt>
                <c:pt idx="57">
                  <c:v>1.3077033892743077</c:v>
                </c:pt>
                <c:pt idx="58">
                  <c:v>1.3060676938128788</c:v>
                </c:pt>
                <c:pt idx="59">
                  <c:v>1.3045714498699565</c:v>
                </c:pt>
                <c:pt idx="60">
                  <c:v>1.3032003909729006</c:v>
                </c:pt>
                <c:pt idx="61">
                  <c:v>1.3019417169428702</c:v>
                </c:pt>
                <c:pt idx="62">
                  <c:v>1.3007839431487485</c:v>
                </c:pt>
                <c:pt idx="63">
                  <c:v>1.2987309379103271</c:v>
                </c:pt>
                <c:pt idx="64">
                  <c:v>1.2969710061572233</c:v>
                </c:pt>
                <c:pt idx="65">
                  <c:v>1.2954474980426351</c:v>
                </c:pt>
                <c:pt idx="66">
                  <c:v>1.2941148072877602</c:v>
                </c:pt>
                <c:pt idx="67">
                  <c:v>1.2929362173990167</c:v>
                </c:pt>
                <c:pt idx="68">
                  <c:v>1.2918821679782448</c:v>
                </c:pt>
                <c:pt idx="69">
                  <c:v>1.2909288591786441</c:v>
                </c:pt>
                <c:pt idx="70">
                  <c:v>1.2900571283463005</c:v>
                </c:pt>
                <c:pt idx="71">
                  <c:v>1.2884996866990086</c:v>
                </c:pt>
                <c:pt idx="72">
                  <c:v>1.2871190640602919</c:v>
                </c:pt>
                <c:pt idx="73">
                  <c:v>1.2858563800219365</c:v>
                </c:pt>
                <c:pt idx="74">
                  <c:v>1.2846734267058122</c:v>
                </c:pt>
                <c:pt idx="75">
                  <c:v>1.283545394121054</c:v>
                </c:pt>
                <c:pt idx="76">
                  <c:v>1.2824561559689074</c:v>
                </c:pt>
                <c:pt idx="77">
                  <c:v>1.2813952146203729</c:v>
                </c:pt>
                <c:pt idx="78">
                  <c:v>1.2803557212647378</c:v>
                </c:pt>
                <c:pt idx="79">
                  <c:v>1.2783246802606405</c:v>
                </c:pt>
                <c:pt idx="80">
                  <c:v>1.2763425334944238</c:v>
                </c:pt>
                <c:pt idx="81">
                  <c:v>1.2744001213616265</c:v>
                </c:pt>
                <c:pt idx="82">
                  <c:v>1.2724930689019529</c:v>
                </c:pt>
                <c:pt idx="83">
                  <c:v>1.270619031025717</c:v>
                </c:pt>
                <c:pt idx="84">
                  <c:v>1.2687765342435953</c:v>
                </c:pt>
                <c:pt idx="85">
                  <c:v>1.2669644891450829</c:v>
                </c:pt>
                <c:pt idx="86">
                  <c:v>1.2651819847316073</c:v>
                </c:pt>
                <c:pt idx="87">
                  <c:v>1.2617023726773291</c:v>
                </c:pt>
                <c:pt idx="88">
                  <c:v>1.258331696450018</c:v>
                </c:pt>
                <c:pt idx="89">
                  <c:v>1.255064465929586</c:v>
                </c:pt>
                <c:pt idx="90">
                  <c:v>1.2518955802437528</c:v>
                </c:pt>
                <c:pt idx="91">
                  <c:v>1.248820281142486</c:v>
                </c:pt>
                <c:pt idx="92">
                  <c:v>1.2458341222175846</c:v>
                </c:pt>
                <c:pt idx="93">
                  <c:v>1.2429329431200591</c:v>
                </c:pt>
                <c:pt idx="94">
                  <c:v>1.2401128466119788</c:v>
                </c:pt>
                <c:pt idx="95">
                  <c:v>1.234701505643294</c:v>
                </c:pt>
                <c:pt idx="96">
                  <c:v>1.2295734434696175</c:v>
                </c:pt>
                <c:pt idx="97">
                  <c:v>1.2247050727151783</c:v>
                </c:pt>
                <c:pt idx="98">
                  <c:v>1.2200754403077603</c:v>
                </c:pt>
                <c:pt idx="99">
                  <c:v>1.2156658652993675</c:v>
                </c:pt>
                <c:pt idx="100">
                  <c:v>1.2114596351001876</c:v>
                </c:pt>
                <c:pt idx="101">
                  <c:v>1.2074417494049547</c:v>
                </c:pt>
                <c:pt idx="102">
                  <c:v>1.2035987032834372</c:v>
                </c:pt>
                <c:pt idx="103">
                  <c:v>1.1963895063144876</c:v>
                </c:pt>
                <c:pt idx="104">
                  <c:v>1.1897475345885367</c:v>
                </c:pt>
                <c:pt idx="105">
                  <c:v>1.1836028230705069</c:v>
                </c:pt>
                <c:pt idx="106">
                  <c:v>1.1778969026253752</c:v>
                </c:pt>
                <c:pt idx="107">
                  <c:v>1.1725804923362153</c:v>
                </c:pt>
                <c:pt idx="108">
                  <c:v>1.1676117302929072</c:v>
                </c:pt>
                <c:pt idx="109">
                  <c:v>1.1629548012893696</c:v>
                </c:pt>
                <c:pt idx="110">
                  <c:v>1.1585788609197061</c:v>
                </c:pt>
                <c:pt idx="111">
                  <c:v>1.1505664822686421</c:v>
                </c:pt>
                <c:pt idx="112">
                  <c:v>1.1433988602590583</c:v>
                </c:pt>
                <c:pt idx="113">
                  <c:v>1.1369400191480046</c:v>
                </c:pt>
                <c:pt idx="114">
                  <c:v>1.1310828630399825</c:v>
                </c:pt>
                <c:pt idx="115">
                  <c:v>1.1257417231031732</c:v>
                </c:pt>
                <c:pt idx="116">
                  <c:v>1.1208471274563063</c:v>
                </c:pt>
                <c:pt idx="117">
                  <c:v>1.1163420519280314</c:v>
                </c:pt>
                <c:pt idx="118">
                  <c:v>1.1121791809596657</c:v>
                </c:pt>
                <c:pt idx="119">
                  <c:v>1.1047276206956378</c:v>
                </c:pt>
                <c:pt idx="120">
                  <c:v>1.0982421708471959</c:v>
                </c:pt>
                <c:pt idx="121">
                  <c:v>1.0925389804723724</c:v>
                </c:pt>
                <c:pt idx="122">
                  <c:v>1.0874794840036928</c:v>
                </c:pt>
                <c:pt idx="123">
                  <c:v>1.0829569664082215</c:v>
                </c:pt>
                <c:pt idx="124">
                  <c:v>1.078887714046658</c:v>
                </c:pt>
                <c:pt idx="125">
                  <c:v>1.0752050051455626</c:v>
                </c:pt>
                <c:pt idx="126">
                  <c:v>1.071854919559418</c:v>
                </c:pt>
                <c:pt idx="127">
                  <c:v>1.0659838209267483</c:v>
                </c:pt>
                <c:pt idx="128">
                  <c:v>1.0610038955587757</c:v>
                </c:pt>
                <c:pt idx="129">
                  <c:v>1.0567238648620556</c:v>
                </c:pt>
                <c:pt idx="130">
                  <c:v>1.0530042883063997</c:v>
                </c:pt>
                <c:pt idx="131">
                  <c:v>1.0497409110476894</c:v>
                </c:pt>
                <c:pt idx="132">
                  <c:v>1.0468541050977573</c:v>
                </c:pt>
                <c:pt idx="133">
                  <c:v>1.0442819318800853</c:v>
                </c:pt>
                <c:pt idx="134">
                  <c:v>1.0419754446388032</c:v>
                </c:pt>
                <c:pt idx="135">
                  <c:v>1.0380100583183705</c:v>
                </c:pt>
                <c:pt idx="136">
                  <c:v>1.0347234312481954</c:v>
                </c:pt>
                <c:pt idx="137">
                  <c:v>1.0319553393887153</c:v>
                </c:pt>
                <c:pt idx="138">
                  <c:v>1.029592464675823</c:v>
                </c:pt>
                <c:pt idx="139">
                  <c:v>1.0275523387052485</c:v>
                </c:pt>
                <c:pt idx="140">
                  <c:v>1.0257734816616559</c:v>
                </c:pt>
                <c:pt idx="141">
                  <c:v>1.0242091077229654</c:v>
                </c:pt>
                <c:pt idx="142">
                  <c:v>1.0228229735207159</c:v>
                </c:pt>
                <c:pt idx="143">
                  <c:v>1.0204771253227503</c:v>
                </c:pt>
                <c:pt idx="144">
                  <c:v>1.0185690727795647</c:v>
                </c:pt>
                <c:pt idx="145">
                  <c:v>1.0169880832562068</c:v>
                </c:pt>
                <c:pt idx="146">
                  <c:v>1.0156577784000755</c:v>
                </c:pt>
                <c:pt idx="147">
                  <c:v>1.0145237725501666</c:v>
                </c:pt>
                <c:pt idx="148">
                  <c:v>1.0135462928244168</c:v>
                </c:pt>
                <c:pt idx="149">
                  <c:v>1.0126955846421117</c:v>
                </c:pt>
                <c:pt idx="150">
                  <c:v>1.0119489481633095</c:v>
                </c:pt>
                <c:pt idx="151">
                  <c:v>1.010701166647378</c:v>
                </c:pt>
                <c:pt idx="152">
                  <c:v>1.0097015208700986</c:v>
                </c:pt>
                <c:pt idx="153">
                  <c:v>1.008884145067241</c:v>
                </c:pt>
                <c:pt idx="154">
                  <c:v>1.0082044386411337</c:v>
                </c:pt>
                <c:pt idx="155">
                  <c:v>1.0076311472669628</c:v>
                </c:pt>
                <c:pt idx="156">
                  <c:v>1.0071417333405703</c:v>
                </c:pt>
                <c:pt idx="157">
                  <c:v>1.0067195457843783</c:v>
                </c:pt>
                <c:pt idx="158">
                  <c:v>1.0063520235016608</c:v>
                </c:pt>
                <c:pt idx="159">
                  <c:v>1.0057444980749237</c:v>
                </c:pt>
                <c:pt idx="160">
                  <c:v>1.0052642611117872</c:v>
                </c:pt>
                <c:pt idx="161">
                  <c:v>1.0048762411526546</c:v>
                </c:pt>
                <c:pt idx="162">
                  <c:v>1.0045570233677941</c:v>
                </c:pt>
                <c:pt idx="163">
                  <c:v>1.0042904032449151</c:v>
                </c:pt>
                <c:pt idx="164">
                  <c:v>1.0040648257469658</c:v>
                </c:pt>
                <c:pt idx="165">
                  <c:v>1.0038718401500923</c:v>
                </c:pt>
                <c:pt idx="166">
                  <c:v>1.0037051305554126</c:v>
                </c:pt>
                <c:pt idx="167">
                  <c:v>1.0034323854887617</c:v>
                </c:pt>
                <c:pt idx="168">
                  <c:v>1.0032195047159858</c:v>
                </c:pt>
                <c:pt idx="169">
                  <c:v>1.0030494318767949</c:v>
                </c:pt>
                <c:pt idx="170">
                  <c:v>1.0029109251786383</c:v>
                </c:pt>
                <c:pt idx="171">
                  <c:v>1.0027962945464173</c:v>
                </c:pt>
                <c:pt idx="172">
                  <c:v>1.0027001142883545</c:v>
                </c:pt>
                <c:pt idx="173">
                  <c:v>1.0026184549283288</c:v>
                </c:pt>
                <c:pt idx="174">
                  <c:v>1.0025484061022316</c:v>
                </c:pt>
                <c:pt idx="175">
                  <c:v>1.0024348581892506</c:v>
                </c:pt>
                <c:pt idx="176">
                  <c:v>1.0023472179420965</c:v>
                </c:pt>
                <c:pt idx="177">
                  <c:v>1.0022778783615456</c:v>
                </c:pt>
                <c:pt idx="178">
                  <c:v>1.0022218883404925</c:v>
                </c:pt>
                <c:pt idx="179">
                  <c:v>1.0021758988933493</c:v>
                </c:pt>
                <c:pt idx="180">
                  <c:v>1.0021375709796294</c:v>
                </c:pt>
                <c:pt idx="181">
                  <c:v>1.0021052260677961</c:v>
                </c:pt>
                <c:pt idx="182">
                  <c:v>1.0020776313097639</c:v>
                </c:pt>
                <c:pt idx="183">
                  <c:v>1.0020332157282057</c:v>
                </c:pt>
                <c:pt idx="184">
                  <c:v>1.0019992191814731</c:v>
                </c:pt>
                <c:pt idx="185">
                  <c:v>1.0019725110577857</c:v>
                </c:pt>
                <c:pt idx="186">
                  <c:v>1.0019510752316259</c:v>
                </c:pt>
                <c:pt idx="187">
                  <c:v>1.0019335604652211</c:v>
                </c:pt>
                <c:pt idx="188">
                  <c:v>1.0019190305974519</c:v>
                </c:pt>
                <c:pt idx="189">
                  <c:v>1.001906818603632</c:v>
                </c:pt>
                <c:pt idx="190">
                  <c:v>1.0018964376733004</c:v>
                </c:pt>
                <c:pt idx="191">
                  <c:v>1.0018798054635012</c:v>
                </c:pt>
                <c:pt idx="192">
                  <c:v>1.0018671424941783</c:v>
                </c:pt>
                <c:pt idx="193">
                  <c:v>1.0018572381874464</c:v>
                </c:pt>
                <c:pt idx="194">
                  <c:v>1.0018493186142563</c:v>
                </c:pt>
                <c:pt idx="195">
                  <c:v>1.0018428682847946</c:v>
                </c:pt>
                <c:pt idx="196">
                  <c:v>1.0018375319569253</c:v>
                </c:pt>
                <c:pt idx="197">
                  <c:v>1.0018330576853514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626-4DA8-A3F0-BAE0A2B7D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94944"/>
        <c:axId val="157004928"/>
      </c:scatterChart>
      <c:valAx>
        <c:axId val="15699494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004928"/>
        <c:crosses val="autoZero"/>
        <c:crossBetween val="midCat"/>
      </c:valAx>
      <c:valAx>
        <c:axId val="157004928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6994944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567224652473997"/>
          <c:y val="8.4598698481561818E-2"/>
          <c:w val="0.12089573247788465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881819144804207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'1_EGFP+Rh110'!$F$1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'1_EGFP+Rh110'!$A$3:$A$235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'1_EGFP+Rh110'!$F$6:$F$200</c:f>
              <c:numCache>
                <c:formatCode>General</c:formatCode>
                <c:ptCount val="195"/>
                <c:pt idx="0">
                  <c:v>-5.9123192621475251E-3</c:v>
                </c:pt>
                <c:pt idx="1">
                  <c:v>1.2826550055879515E-2</c:v>
                </c:pt>
                <c:pt idx="2">
                  <c:v>-1.0442564922708453E-2</c:v>
                </c:pt>
                <c:pt idx="3">
                  <c:v>-1.8037006713324422E-2</c:v>
                </c:pt>
                <c:pt idx="4">
                  <c:v>-1.1156370749997757E-2</c:v>
                </c:pt>
                <c:pt idx="5">
                  <c:v>-2.8392281367235483E-2</c:v>
                </c:pt>
                <c:pt idx="6">
                  <c:v>1.4831809942954965E-2</c:v>
                </c:pt>
                <c:pt idx="7">
                  <c:v>1.5400806213797358E-2</c:v>
                </c:pt>
                <c:pt idx="8">
                  <c:v>2.6108128620918603E-2</c:v>
                </c:pt>
                <c:pt idx="9">
                  <c:v>1.1285863830307497E-2</c:v>
                </c:pt>
                <c:pt idx="10">
                  <c:v>-8.0251033052238796E-3</c:v>
                </c:pt>
                <c:pt idx="11">
                  <c:v>-7.7549702442030188E-3</c:v>
                </c:pt>
                <c:pt idx="12">
                  <c:v>-4.3969699091062076E-3</c:v>
                </c:pt>
                <c:pt idx="13">
                  <c:v>1.5104693504006672E-3</c:v>
                </c:pt>
                <c:pt idx="14">
                  <c:v>1.2346499188445881E-2</c:v>
                </c:pt>
                <c:pt idx="15">
                  <c:v>3.0982782490251992E-5</c:v>
                </c:pt>
                <c:pt idx="16">
                  <c:v>-1.3643749812394246E-2</c:v>
                </c:pt>
                <c:pt idx="17">
                  <c:v>-1.1171478039685212E-2</c:v>
                </c:pt>
                <c:pt idx="18">
                  <c:v>1.0259063743079944E-2</c:v>
                </c:pt>
                <c:pt idx="19">
                  <c:v>-5.6448773469404134E-3</c:v>
                </c:pt>
                <c:pt idx="20">
                  <c:v>-3.0528992529206267E-3</c:v>
                </c:pt>
                <c:pt idx="21">
                  <c:v>3.0475448378084469E-3</c:v>
                </c:pt>
                <c:pt idx="22">
                  <c:v>6.1110735108726999E-5</c:v>
                </c:pt>
                <c:pt idx="23">
                  <c:v>8.0537525512738295E-3</c:v>
                </c:pt>
                <c:pt idx="24">
                  <c:v>-2.0220876674347688E-2</c:v>
                </c:pt>
                <c:pt idx="25">
                  <c:v>-1.187214963442651E-3</c:v>
                </c:pt>
                <c:pt idx="26">
                  <c:v>7.5049777373883408E-3</c:v>
                </c:pt>
                <c:pt idx="27">
                  <c:v>3.2024409565014622E-3</c:v>
                </c:pt>
                <c:pt idx="28">
                  <c:v>9.049412571020321E-3</c:v>
                </c:pt>
                <c:pt idx="29">
                  <c:v>8.8139546173335859E-3</c:v>
                </c:pt>
                <c:pt idx="30">
                  <c:v>-6.6451166999568212E-3</c:v>
                </c:pt>
                <c:pt idx="31">
                  <c:v>8.3460653931042295E-3</c:v>
                </c:pt>
                <c:pt idx="32">
                  <c:v>1.492256639601397E-4</c:v>
                </c:pt>
                <c:pt idx="33">
                  <c:v>3.085161473844078E-3</c:v>
                </c:pt>
                <c:pt idx="34">
                  <c:v>-6.7257317338418332E-3</c:v>
                </c:pt>
                <c:pt idx="35">
                  <c:v>-6.2832330794169167E-3</c:v>
                </c:pt>
                <c:pt idx="36">
                  <c:v>-1.1751506359125585E-4</c:v>
                </c:pt>
                <c:pt idx="37">
                  <c:v>1.6131696134495943E-3</c:v>
                </c:pt>
                <c:pt idx="38">
                  <c:v>-3.6604799930863852E-3</c:v>
                </c:pt>
                <c:pt idx="39">
                  <c:v>1.1922191726601472E-2</c:v>
                </c:pt>
                <c:pt idx="40">
                  <c:v>1.8118182099364777E-3</c:v>
                </c:pt>
                <c:pt idx="41">
                  <c:v>-7.3509849205544153E-3</c:v>
                </c:pt>
                <c:pt idx="42">
                  <c:v>-9.55618675954506E-4</c:v>
                </c:pt>
                <c:pt idx="43">
                  <c:v>-1.4815001239580905E-3</c:v>
                </c:pt>
                <c:pt idx="44">
                  <c:v>9.5248042373707875E-5</c:v>
                </c:pt>
                <c:pt idx="45">
                  <c:v>-2.1463815113176299E-3</c:v>
                </c:pt>
                <c:pt idx="46">
                  <c:v>9.7739998710988374E-5</c:v>
                </c:pt>
                <c:pt idx="47">
                  <c:v>-6.0884766166569015E-3</c:v>
                </c:pt>
                <c:pt idx="48">
                  <c:v>-1.8132700952322445E-4</c:v>
                </c:pt>
                <c:pt idx="49">
                  <c:v>2.4426976069851225E-3</c:v>
                </c:pt>
                <c:pt idx="50">
                  <c:v>-2.7130792150604766E-3</c:v>
                </c:pt>
                <c:pt idx="51">
                  <c:v>-1.6255093774943941E-3</c:v>
                </c:pt>
                <c:pt idx="52">
                  <c:v>-2.9855950340129667E-4</c:v>
                </c:pt>
                <c:pt idx="53">
                  <c:v>-3.4044370431078885E-3</c:v>
                </c:pt>
                <c:pt idx="54">
                  <c:v>1.0266107256922119E-3</c:v>
                </c:pt>
                <c:pt idx="55">
                  <c:v>9.7230618712118577E-4</c:v>
                </c:pt>
                <c:pt idx="56">
                  <c:v>8.5855013004354497E-4</c:v>
                </c:pt>
                <c:pt idx="57">
                  <c:v>-1.420390972900698E-3</c:v>
                </c:pt>
                <c:pt idx="58">
                  <c:v>4.4582830571298082E-3</c:v>
                </c:pt>
                <c:pt idx="59">
                  <c:v>3.9605685125154722E-4</c:v>
                </c:pt>
                <c:pt idx="60">
                  <c:v>1.6690620896728792E-3</c:v>
                </c:pt>
                <c:pt idx="61">
                  <c:v>-5.1100615722332599E-4</c:v>
                </c:pt>
                <c:pt idx="62">
                  <c:v>8.8250195736483406E-4</c:v>
                </c:pt>
                <c:pt idx="63">
                  <c:v>3.9519271223986685E-4</c:v>
                </c:pt>
                <c:pt idx="64">
                  <c:v>2.0378260098330436E-4</c:v>
                </c:pt>
                <c:pt idx="65">
                  <c:v>1.9778320217551659E-3</c:v>
                </c:pt>
                <c:pt idx="66">
                  <c:v>2.481140821355865E-3</c:v>
                </c:pt>
                <c:pt idx="67">
                  <c:v>3.472871653699583E-3</c:v>
                </c:pt>
                <c:pt idx="68">
                  <c:v>3.7003133009914091E-3</c:v>
                </c:pt>
                <c:pt idx="69">
                  <c:v>3.070935939708086E-3</c:v>
                </c:pt>
                <c:pt idx="70">
                  <c:v>3.1936199780635555E-3</c:v>
                </c:pt>
                <c:pt idx="71">
                  <c:v>2.8365732941877386E-3</c:v>
                </c:pt>
                <c:pt idx="72">
                  <c:v>2.0246058789461507E-3</c:v>
                </c:pt>
                <c:pt idx="73">
                  <c:v>1.6738440310926084E-3</c:v>
                </c:pt>
                <c:pt idx="74">
                  <c:v>3.4785379627200186E-5</c:v>
                </c:pt>
                <c:pt idx="75">
                  <c:v>4.3427873526225014E-4</c:v>
                </c:pt>
                <c:pt idx="76">
                  <c:v>-2.8468026064043528E-4</c:v>
                </c:pt>
                <c:pt idx="77">
                  <c:v>-2.5253349442388995E-4</c:v>
                </c:pt>
                <c:pt idx="78">
                  <c:v>-8.101213616265035E-4</c:v>
                </c:pt>
                <c:pt idx="79">
                  <c:v>-1.0530689019530026E-3</c:v>
                </c:pt>
                <c:pt idx="80">
                  <c:v>1.1009689742829121E-3</c:v>
                </c:pt>
                <c:pt idx="81">
                  <c:v>-1.3865342435952499E-3</c:v>
                </c:pt>
                <c:pt idx="82">
                  <c:v>-1.1144891450829419E-3</c:v>
                </c:pt>
                <c:pt idx="83">
                  <c:v>-1.361984731607313E-3</c:v>
                </c:pt>
                <c:pt idx="84">
                  <c:v>-1.2723726773291588E-3</c:v>
                </c:pt>
                <c:pt idx="85">
                  <c:v>-1.9616964500179801E-3</c:v>
                </c:pt>
                <c:pt idx="86">
                  <c:v>-1.7844659295860321E-3</c:v>
                </c:pt>
                <c:pt idx="87">
                  <c:v>-1.6455802437527201E-3</c:v>
                </c:pt>
                <c:pt idx="88">
                  <c:v>-1.3402811424860772E-3</c:v>
                </c:pt>
                <c:pt idx="89">
                  <c:v>-1.0341222175846987E-3</c:v>
                </c:pt>
                <c:pt idx="90">
                  <c:v>-8.5294312005901318E-4</c:v>
                </c:pt>
                <c:pt idx="91">
                  <c:v>-1.3828466119787386E-3</c:v>
                </c:pt>
                <c:pt idx="92">
                  <c:v>-1.9415056432938727E-3</c:v>
                </c:pt>
                <c:pt idx="93">
                  <c:v>-1.0434434696175998E-3</c:v>
                </c:pt>
                <c:pt idx="94">
                  <c:v>-1.8650727151783286E-3</c:v>
                </c:pt>
                <c:pt idx="95">
                  <c:v>-1.4054403077603528E-3</c:v>
                </c:pt>
                <c:pt idx="96">
                  <c:v>-1.6458652993673883E-3</c:v>
                </c:pt>
                <c:pt idx="97">
                  <c:v>-2.1196351001875335E-3</c:v>
                </c:pt>
                <c:pt idx="98">
                  <c:v>-1.661749404954671E-3</c:v>
                </c:pt>
                <c:pt idx="99">
                  <c:v>-1.8687032834372452E-3</c:v>
                </c:pt>
                <c:pt idx="100">
                  <c:v>-1.209506314487685E-3</c:v>
                </c:pt>
                <c:pt idx="101">
                  <c:v>-1.277534588536744E-3</c:v>
                </c:pt>
                <c:pt idx="102">
                  <c:v>-1.3328230705069721E-3</c:v>
                </c:pt>
                <c:pt idx="103">
                  <c:v>-7.0690262537520532E-4</c:v>
                </c:pt>
                <c:pt idx="104">
                  <c:v>-7.5049233621538036E-4</c:v>
                </c:pt>
                <c:pt idx="105">
                  <c:v>-7.0173029290732103E-4</c:v>
                </c:pt>
                <c:pt idx="106">
                  <c:v>-1.004801289369528E-3</c:v>
                </c:pt>
                <c:pt idx="107">
                  <c:v>-5.8886091970600241E-4</c:v>
                </c:pt>
                <c:pt idx="108">
                  <c:v>-5.1648226864209335E-4</c:v>
                </c:pt>
                <c:pt idx="109">
                  <c:v>-3.2886025905831673E-4</c:v>
                </c:pt>
                <c:pt idx="110">
                  <c:v>-2.0001914800449327E-4</c:v>
                </c:pt>
                <c:pt idx="111">
                  <c:v>-2.6286303998257488E-4</c:v>
                </c:pt>
                <c:pt idx="112">
                  <c:v>-1.2172310317315471E-4</c:v>
                </c:pt>
                <c:pt idx="113">
                  <c:v>-1.071274563062552E-4</c:v>
                </c:pt>
                <c:pt idx="114">
                  <c:v>1.5794807196867211E-4</c:v>
                </c:pt>
                <c:pt idx="115">
                  <c:v>1.7081904033422468E-4</c:v>
                </c:pt>
                <c:pt idx="116">
                  <c:v>2.1237930436224239E-4</c:v>
                </c:pt>
                <c:pt idx="117">
                  <c:v>1.4782915280409092E-4</c:v>
                </c:pt>
                <c:pt idx="118">
                  <c:v>3.4101952762766174E-4</c:v>
                </c:pt>
                <c:pt idx="119">
                  <c:v>6.6051599630734259E-4</c:v>
                </c:pt>
                <c:pt idx="120">
                  <c:v>7.1303359177843362E-4</c:v>
                </c:pt>
                <c:pt idx="121">
                  <c:v>1.0922859533419871E-3</c:v>
                </c:pt>
                <c:pt idx="122">
                  <c:v>8.8499485443738202E-4</c:v>
                </c:pt>
                <c:pt idx="123">
                  <c:v>1.0350804405818703E-3</c:v>
                </c:pt>
                <c:pt idx="124">
                  <c:v>1.0261790732517539E-3</c:v>
                </c:pt>
                <c:pt idx="125">
                  <c:v>1.5261044412242519E-3</c:v>
                </c:pt>
                <c:pt idx="126">
                  <c:v>1.5161351379444632E-3</c:v>
                </c:pt>
                <c:pt idx="127">
                  <c:v>1.555711693600248E-3</c:v>
                </c:pt>
                <c:pt idx="128">
                  <c:v>1.6990889523105235E-3</c:v>
                </c:pt>
                <c:pt idx="129">
                  <c:v>1.855894902242694E-3</c:v>
                </c:pt>
                <c:pt idx="130">
                  <c:v>1.9980681199147643E-3</c:v>
                </c:pt>
                <c:pt idx="131">
                  <c:v>2.0145553611967681E-3</c:v>
                </c:pt>
                <c:pt idx="132">
                  <c:v>1.8199416816295777E-3</c:v>
                </c:pt>
                <c:pt idx="133">
                  <c:v>1.8965687518046614E-3</c:v>
                </c:pt>
                <c:pt idx="134">
                  <c:v>2.244660611284699E-3</c:v>
                </c:pt>
                <c:pt idx="135">
                  <c:v>1.9875353241769478E-3</c:v>
                </c:pt>
                <c:pt idx="136">
                  <c:v>1.9076612947515059E-3</c:v>
                </c:pt>
                <c:pt idx="137">
                  <c:v>1.9065183383439877E-3</c:v>
                </c:pt>
                <c:pt idx="138">
                  <c:v>2.0008922770347048E-3</c:v>
                </c:pt>
                <c:pt idx="139">
                  <c:v>2.0370264792841652E-3</c:v>
                </c:pt>
                <c:pt idx="140">
                  <c:v>1.8428746772496396E-3</c:v>
                </c:pt>
                <c:pt idx="141">
                  <c:v>1.9009272204353334E-3</c:v>
                </c:pt>
                <c:pt idx="142">
                  <c:v>2.5419167437932266E-3</c:v>
                </c:pt>
                <c:pt idx="143">
                  <c:v>2.5922215999245601E-3</c:v>
                </c:pt>
                <c:pt idx="144">
                  <c:v>2.0562274498334698E-3</c:v>
                </c:pt>
                <c:pt idx="145">
                  <c:v>1.7137071755832789E-3</c:v>
                </c:pt>
                <c:pt idx="146">
                  <c:v>1.5844153578883358E-3</c:v>
                </c:pt>
                <c:pt idx="147">
                  <c:v>1.0810518366906052E-3</c:v>
                </c:pt>
                <c:pt idx="148">
                  <c:v>9.0883335262192944E-4</c:v>
                </c:pt>
                <c:pt idx="149">
                  <c:v>3.8847912990136457E-4</c:v>
                </c:pt>
                <c:pt idx="150">
                  <c:v>-2.4145067240910478E-5</c:v>
                </c:pt>
                <c:pt idx="151">
                  <c:v>-2.8443864113381068E-4</c:v>
                </c:pt>
                <c:pt idx="152">
                  <c:v>-1.1611472669628142E-3</c:v>
                </c:pt>
                <c:pt idx="153">
                  <c:v>-6.0173334057034289E-4</c:v>
                </c:pt>
                <c:pt idx="154">
                  <c:v>-5.8954578437830918E-4</c:v>
                </c:pt>
                <c:pt idx="155">
                  <c:v>2.1797649833921184E-4</c:v>
                </c:pt>
                <c:pt idx="156">
                  <c:v>2.9550192507632467E-4</c:v>
                </c:pt>
                <c:pt idx="157">
                  <c:v>1.7573888821265093E-4</c:v>
                </c:pt>
                <c:pt idx="158">
                  <c:v>1.9375884734529336E-4</c:v>
                </c:pt>
                <c:pt idx="159">
                  <c:v>3.7297663220603461E-4</c:v>
                </c:pt>
                <c:pt idx="160">
                  <c:v>3.9596755084803092E-5</c:v>
                </c:pt>
                <c:pt idx="161">
                  <c:v>-7.2482574696586255E-4</c:v>
                </c:pt>
                <c:pt idx="162">
                  <c:v>-6.0184015009223657E-4</c:v>
                </c:pt>
                <c:pt idx="163">
                  <c:v>-9.9513055541256001E-4</c:v>
                </c:pt>
                <c:pt idx="164">
                  <c:v>-1.0523854887616313E-3</c:v>
                </c:pt>
                <c:pt idx="165">
                  <c:v>-1.859504715985727E-3</c:v>
                </c:pt>
                <c:pt idx="166">
                  <c:v>-2.1094318767949094E-3</c:v>
                </c:pt>
                <c:pt idx="167">
                  <c:v>-1.7409251786384417E-3</c:v>
                </c:pt>
                <c:pt idx="168">
                  <c:v>-1.7562945464173474E-3</c:v>
                </c:pt>
                <c:pt idx="169">
                  <c:v>-1.9301142883545452E-3</c:v>
                </c:pt>
                <c:pt idx="170">
                  <c:v>-1.8184549283288831E-3</c:v>
                </c:pt>
                <c:pt idx="171">
                  <c:v>-1.0184061022315838E-3</c:v>
                </c:pt>
                <c:pt idx="172">
                  <c:v>-1.7448581892505199E-3</c:v>
                </c:pt>
                <c:pt idx="173">
                  <c:v>-2.0772179420964765E-3</c:v>
                </c:pt>
                <c:pt idx="174">
                  <c:v>-1.5278783615455538E-3</c:v>
                </c:pt>
                <c:pt idx="175">
                  <c:v>-1.9818883404925103E-3</c:v>
                </c:pt>
                <c:pt idx="176">
                  <c:v>-1.7458988933494179E-3</c:v>
                </c:pt>
                <c:pt idx="177">
                  <c:v>-1.3075709796293022E-3</c:v>
                </c:pt>
                <c:pt idx="178">
                  <c:v>-1.1952260677960957E-3</c:v>
                </c:pt>
                <c:pt idx="179">
                  <c:v>-1.7376313097638985E-3</c:v>
                </c:pt>
                <c:pt idx="180">
                  <c:v>-1.5432157282055936E-3</c:v>
                </c:pt>
                <c:pt idx="181">
                  <c:v>-1.3192191814730414E-3</c:v>
                </c:pt>
                <c:pt idx="182">
                  <c:v>-1.3925110577857058E-3</c:v>
                </c:pt>
                <c:pt idx="183">
                  <c:v>-1.131075231625811E-3</c:v>
                </c:pt>
                <c:pt idx="184">
                  <c:v>-5.4356046522108237E-4</c:v>
                </c:pt>
                <c:pt idx="185">
                  <c:v>-4.2903059745191818E-4</c:v>
                </c:pt>
                <c:pt idx="186">
                  <c:v>-8.5681860363195916E-4</c:v>
                </c:pt>
                <c:pt idx="187">
                  <c:v>-8.3643767330032759E-4</c:v>
                </c:pt>
                <c:pt idx="188">
                  <c:v>-6.1980546350115517E-4</c:v>
                </c:pt>
                <c:pt idx="189">
                  <c:v>-1.8371424941783232E-3</c:v>
                </c:pt>
                <c:pt idx="190">
                  <c:v>-1.4772381874463836E-3</c:v>
                </c:pt>
                <c:pt idx="191">
                  <c:v>-3.1931861425626984E-4</c:v>
                </c:pt>
                <c:pt idx="192">
                  <c:v>-7.4286828479452893E-4</c:v>
                </c:pt>
                <c:pt idx="193">
                  <c:v>-8.6753195692534923E-4</c:v>
                </c:pt>
                <c:pt idx="194">
                  <c:v>-8.4305768535131165E-4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B34-41AC-8751-358D08A01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21312"/>
        <c:axId val="157022848"/>
      </c:scatterChart>
      <c:valAx>
        <c:axId val="157021312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022848"/>
        <c:crosses val="autoZero"/>
        <c:crossBetween val="midCat"/>
      </c:valAx>
      <c:valAx>
        <c:axId val="15702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021312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0209272802324042"/>
          <c:y val="0.12280701754385964"/>
          <c:w val="0.12107619336900394"/>
          <c:h val="9.941520467836256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7073091236729738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'2_EGFP+Rh110'!$B$1</c:f>
              <c:strCache>
                <c:ptCount val="1"/>
                <c:pt idx="0">
                  <c:v>mixknown2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'2_EGFP+Rh110'!$A$2:$A$252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'2_EGFP+Rh110'!$B$2:$B$252</c:f>
              <c:numCache>
                <c:formatCode>General</c:formatCode>
                <c:ptCount val="251"/>
                <c:pt idx="0">
                  <c:v>1.26291</c:v>
                </c:pt>
                <c:pt idx="1">
                  <c:v>1.4066099999999999</c:v>
                </c:pt>
                <c:pt idx="2">
                  <c:v>1.3789800000000001</c:v>
                </c:pt>
                <c:pt idx="3">
                  <c:v>1.43228</c:v>
                </c:pt>
                <c:pt idx="4">
                  <c:v>1.4063300000000001</c:v>
                </c:pt>
                <c:pt idx="5">
                  <c:v>1.36113</c:v>
                </c:pt>
                <c:pt idx="6">
                  <c:v>1.37815</c:v>
                </c:pt>
                <c:pt idx="7">
                  <c:v>1.3667100000000001</c:v>
                </c:pt>
                <c:pt idx="8">
                  <c:v>1.3854</c:v>
                </c:pt>
                <c:pt idx="9">
                  <c:v>1.3868</c:v>
                </c:pt>
                <c:pt idx="10">
                  <c:v>1.37592</c:v>
                </c:pt>
                <c:pt idx="11">
                  <c:v>1.38931</c:v>
                </c:pt>
                <c:pt idx="12">
                  <c:v>1.3812199999999999</c:v>
                </c:pt>
                <c:pt idx="13">
                  <c:v>1.4225099999999999</c:v>
                </c:pt>
                <c:pt idx="14">
                  <c:v>1.3753599999999999</c:v>
                </c:pt>
                <c:pt idx="15">
                  <c:v>1.38666</c:v>
                </c:pt>
                <c:pt idx="16">
                  <c:v>1.3750800000000001</c:v>
                </c:pt>
                <c:pt idx="17">
                  <c:v>1.3763300000000001</c:v>
                </c:pt>
                <c:pt idx="18">
                  <c:v>1.3817699999999999</c:v>
                </c:pt>
                <c:pt idx="19">
                  <c:v>1.3669899999999999</c:v>
                </c:pt>
                <c:pt idx="20">
                  <c:v>1.3648899999999999</c:v>
                </c:pt>
                <c:pt idx="21">
                  <c:v>1.3794</c:v>
                </c:pt>
                <c:pt idx="22">
                  <c:v>1.3572200000000001</c:v>
                </c:pt>
                <c:pt idx="23">
                  <c:v>1.37026</c:v>
                </c:pt>
                <c:pt idx="24">
                  <c:v>1.3776600000000001</c:v>
                </c:pt>
                <c:pt idx="25">
                  <c:v>1.34606</c:v>
                </c:pt>
                <c:pt idx="26">
                  <c:v>1.3551299999999999</c:v>
                </c:pt>
                <c:pt idx="27">
                  <c:v>1.36964</c:v>
                </c:pt>
                <c:pt idx="28">
                  <c:v>1.3704000000000001</c:v>
                </c:pt>
                <c:pt idx="29">
                  <c:v>1.3559600000000001</c:v>
                </c:pt>
                <c:pt idx="30">
                  <c:v>1.3752200000000001</c:v>
                </c:pt>
                <c:pt idx="31">
                  <c:v>1.3668800000000001</c:v>
                </c:pt>
                <c:pt idx="32">
                  <c:v>1.35907</c:v>
                </c:pt>
                <c:pt idx="33">
                  <c:v>1.36761</c:v>
                </c:pt>
                <c:pt idx="34">
                  <c:v>1.3563799999999999</c:v>
                </c:pt>
                <c:pt idx="35">
                  <c:v>1.37229</c:v>
                </c:pt>
                <c:pt idx="36">
                  <c:v>1.35331</c:v>
                </c:pt>
                <c:pt idx="37">
                  <c:v>1.36639</c:v>
                </c:pt>
                <c:pt idx="38">
                  <c:v>1.3571500000000001</c:v>
                </c:pt>
                <c:pt idx="39">
                  <c:v>1.36005</c:v>
                </c:pt>
                <c:pt idx="40">
                  <c:v>1.3580700000000001</c:v>
                </c:pt>
                <c:pt idx="41">
                  <c:v>1.3496999999999999</c:v>
                </c:pt>
                <c:pt idx="42">
                  <c:v>1.3557399999999999</c:v>
                </c:pt>
                <c:pt idx="43">
                  <c:v>1.3571299999999999</c:v>
                </c:pt>
                <c:pt idx="44">
                  <c:v>1.35033</c:v>
                </c:pt>
                <c:pt idx="45">
                  <c:v>1.35124</c:v>
                </c:pt>
                <c:pt idx="46">
                  <c:v>1.3516600000000001</c:v>
                </c:pt>
                <c:pt idx="47">
                  <c:v>1.35297</c:v>
                </c:pt>
                <c:pt idx="48">
                  <c:v>1.35714</c:v>
                </c:pt>
                <c:pt idx="49">
                  <c:v>1.34934</c:v>
                </c:pt>
                <c:pt idx="50">
                  <c:v>1.35033</c:v>
                </c:pt>
                <c:pt idx="51">
                  <c:v>1.34354</c:v>
                </c:pt>
                <c:pt idx="52">
                  <c:v>1.3500700000000001</c:v>
                </c:pt>
                <c:pt idx="53">
                  <c:v>1.3433600000000001</c:v>
                </c:pt>
                <c:pt idx="54">
                  <c:v>1.34375</c:v>
                </c:pt>
                <c:pt idx="55">
                  <c:v>1.3418300000000001</c:v>
                </c:pt>
                <c:pt idx="56">
                  <c:v>1.34036</c:v>
                </c:pt>
                <c:pt idx="57">
                  <c:v>1.33738</c:v>
                </c:pt>
                <c:pt idx="58">
                  <c:v>1.3383799999999999</c:v>
                </c:pt>
                <c:pt idx="59">
                  <c:v>1.3365100000000001</c:v>
                </c:pt>
                <c:pt idx="60">
                  <c:v>1.33571</c:v>
                </c:pt>
                <c:pt idx="61">
                  <c:v>1.3333600000000001</c:v>
                </c:pt>
                <c:pt idx="62">
                  <c:v>1.3266</c:v>
                </c:pt>
                <c:pt idx="63">
                  <c:v>1.3301000000000001</c:v>
                </c:pt>
                <c:pt idx="64">
                  <c:v>1.3292900000000001</c:v>
                </c:pt>
                <c:pt idx="65">
                  <c:v>1.3269299999999999</c:v>
                </c:pt>
                <c:pt idx="66">
                  <c:v>1.32453</c:v>
                </c:pt>
                <c:pt idx="67">
                  <c:v>1.3222799999999999</c:v>
                </c:pt>
                <c:pt idx="68">
                  <c:v>1.32551</c:v>
                </c:pt>
                <c:pt idx="69">
                  <c:v>1.3220799999999999</c:v>
                </c:pt>
                <c:pt idx="70">
                  <c:v>1.3248800000000001</c:v>
                </c:pt>
                <c:pt idx="71">
                  <c:v>1.3217699999999999</c:v>
                </c:pt>
                <c:pt idx="72">
                  <c:v>1.3185500000000001</c:v>
                </c:pt>
                <c:pt idx="73">
                  <c:v>1.3165</c:v>
                </c:pt>
                <c:pt idx="74">
                  <c:v>1.31491</c:v>
                </c:pt>
                <c:pt idx="75">
                  <c:v>1.3133300000000001</c:v>
                </c:pt>
                <c:pt idx="76">
                  <c:v>1.3108500000000001</c:v>
                </c:pt>
                <c:pt idx="77">
                  <c:v>1.3100400000000001</c:v>
                </c:pt>
                <c:pt idx="78">
                  <c:v>1.3077099999999999</c:v>
                </c:pt>
                <c:pt idx="79">
                  <c:v>1.30535</c:v>
                </c:pt>
                <c:pt idx="80">
                  <c:v>1.30352</c:v>
                </c:pt>
                <c:pt idx="81">
                  <c:v>1.3029900000000001</c:v>
                </c:pt>
                <c:pt idx="82">
                  <c:v>1.29887</c:v>
                </c:pt>
                <c:pt idx="83">
                  <c:v>1.2973399999999999</c:v>
                </c:pt>
                <c:pt idx="84">
                  <c:v>1.29467</c:v>
                </c:pt>
                <c:pt idx="85">
                  <c:v>1.2929200000000001</c:v>
                </c:pt>
                <c:pt idx="86">
                  <c:v>1.2911999999999999</c:v>
                </c:pt>
                <c:pt idx="87">
                  <c:v>1.28871</c:v>
                </c:pt>
                <c:pt idx="88">
                  <c:v>1.2847999999999999</c:v>
                </c:pt>
                <c:pt idx="89">
                  <c:v>1.2800499999999999</c:v>
                </c:pt>
                <c:pt idx="90">
                  <c:v>1.2765899999999999</c:v>
                </c:pt>
                <c:pt idx="91">
                  <c:v>1.2739100000000001</c:v>
                </c:pt>
                <c:pt idx="92">
                  <c:v>1.2703800000000001</c:v>
                </c:pt>
                <c:pt idx="93">
                  <c:v>1.2680199999999999</c:v>
                </c:pt>
                <c:pt idx="94">
                  <c:v>1.26302</c:v>
                </c:pt>
                <c:pt idx="95">
                  <c:v>1.2606599999999999</c:v>
                </c:pt>
                <c:pt idx="96">
                  <c:v>1.2542599999999999</c:v>
                </c:pt>
                <c:pt idx="97">
                  <c:v>1.24861</c:v>
                </c:pt>
                <c:pt idx="98">
                  <c:v>1.2425600000000001</c:v>
                </c:pt>
                <c:pt idx="99">
                  <c:v>1.2381500000000001</c:v>
                </c:pt>
                <c:pt idx="100">
                  <c:v>1.2327300000000001</c:v>
                </c:pt>
                <c:pt idx="101">
                  <c:v>1.22837</c:v>
                </c:pt>
                <c:pt idx="102">
                  <c:v>1.2240200000000001</c:v>
                </c:pt>
                <c:pt idx="103">
                  <c:v>1.2201900000000001</c:v>
                </c:pt>
                <c:pt idx="104">
                  <c:v>1.21193</c:v>
                </c:pt>
                <c:pt idx="105">
                  <c:v>1.2048300000000001</c:v>
                </c:pt>
                <c:pt idx="106">
                  <c:v>1.1985300000000001</c:v>
                </c:pt>
                <c:pt idx="107">
                  <c:v>1.1916599999999999</c:v>
                </c:pt>
                <c:pt idx="108">
                  <c:v>1.1854499999999999</c:v>
                </c:pt>
                <c:pt idx="109">
                  <c:v>1.1809099999999999</c:v>
                </c:pt>
                <c:pt idx="110">
                  <c:v>1.1754</c:v>
                </c:pt>
                <c:pt idx="111">
                  <c:v>1.1708000000000001</c:v>
                </c:pt>
                <c:pt idx="112">
                  <c:v>1.16187</c:v>
                </c:pt>
                <c:pt idx="113">
                  <c:v>1.15486</c:v>
                </c:pt>
                <c:pt idx="114">
                  <c:v>1.14785</c:v>
                </c:pt>
                <c:pt idx="115">
                  <c:v>1.1417600000000001</c:v>
                </c:pt>
                <c:pt idx="116">
                  <c:v>1.1357600000000001</c:v>
                </c:pt>
                <c:pt idx="117">
                  <c:v>1.1303799999999999</c:v>
                </c:pt>
                <c:pt idx="118">
                  <c:v>1.1255200000000001</c:v>
                </c:pt>
                <c:pt idx="119">
                  <c:v>1.12164</c:v>
                </c:pt>
                <c:pt idx="120">
                  <c:v>1.1137699999999999</c:v>
                </c:pt>
                <c:pt idx="121">
                  <c:v>1.1067499999999999</c:v>
                </c:pt>
                <c:pt idx="122">
                  <c:v>1.1009899999999999</c:v>
                </c:pt>
                <c:pt idx="123">
                  <c:v>1.09606</c:v>
                </c:pt>
                <c:pt idx="124">
                  <c:v>1.09118</c:v>
                </c:pt>
                <c:pt idx="125">
                  <c:v>1.08731</c:v>
                </c:pt>
                <c:pt idx="126">
                  <c:v>1.08362</c:v>
                </c:pt>
                <c:pt idx="127">
                  <c:v>1.0802099999999999</c:v>
                </c:pt>
                <c:pt idx="128">
                  <c:v>1.0734900000000001</c:v>
                </c:pt>
                <c:pt idx="129">
                  <c:v>1.06839</c:v>
                </c:pt>
                <c:pt idx="130">
                  <c:v>1.06382</c:v>
                </c:pt>
                <c:pt idx="131">
                  <c:v>1.06019</c:v>
                </c:pt>
                <c:pt idx="132">
                  <c:v>1.05663</c:v>
                </c:pt>
                <c:pt idx="133">
                  <c:v>1.05375</c:v>
                </c:pt>
                <c:pt idx="134">
                  <c:v>1.05111</c:v>
                </c:pt>
                <c:pt idx="135">
                  <c:v>1.0487</c:v>
                </c:pt>
                <c:pt idx="136">
                  <c:v>1.04433</c:v>
                </c:pt>
                <c:pt idx="137">
                  <c:v>1.0411300000000001</c:v>
                </c:pt>
                <c:pt idx="138">
                  <c:v>1.0382</c:v>
                </c:pt>
                <c:pt idx="139">
                  <c:v>1.03556</c:v>
                </c:pt>
                <c:pt idx="140">
                  <c:v>1.0330299999999999</c:v>
                </c:pt>
                <c:pt idx="141">
                  <c:v>1.03115</c:v>
                </c:pt>
                <c:pt idx="142">
                  <c:v>1.0291399999999999</c:v>
                </c:pt>
                <c:pt idx="143">
                  <c:v>1.0275700000000001</c:v>
                </c:pt>
                <c:pt idx="144">
                  <c:v>1.0246599999999999</c:v>
                </c:pt>
                <c:pt idx="145">
                  <c:v>1.0222</c:v>
                </c:pt>
                <c:pt idx="146">
                  <c:v>1.02014</c:v>
                </c:pt>
                <c:pt idx="147">
                  <c:v>1.01814</c:v>
                </c:pt>
                <c:pt idx="148">
                  <c:v>1.0174399999999999</c:v>
                </c:pt>
                <c:pt idx="149">
                  <c:v>1.0167600000000001</c:v>
                </c:pt>
                <c:pt idx="150">
                  <c:v>1.01555</c:v>
                </c:pt>
                <c:pt idx="151">
                  <c:v>1.0148999999999999</c:v>
                </c:pt>
                <c:pt idx="152">
                  <c:v>1.0139</c:v>
                </c:pt>
                <c:pt idx="153">
                  <c:v>1.01187</c:v>
                </c:pt>
                <c:pt idx="154">
                  <c:v>1.01017</c:v>
                </c:pt>
                <c:pt idx="155">
                  <c:v>1.0099199999999999</c:v>
                </c:pt>
                <c:pt idx="156">
                  <c:v>1.00928</c:v>
                </c:pt>
                <c:pt idx="157">
                  <c:v>1.00844</c:v>
                </c:pt>
                <c:pt idx="158">
                  <c:v>1.0078</c:v>
                </c:pt>
                <c:pt idx="159">
                  <c:v>1.0083299999999999</c:v>
                </c:pt>
                <c:pt idx="160">
                  <c:v>1.0075000000000001</c:v>
                </c:pt>
                <c:pt idx="161">
                  <c:v>1.0062899999999999</c:v>
                </c:pt>
                <c:pt idx="162">
                  <c:v>1.00545</c:v>
                </c:pt>
                <c:pt idx="163">
                  <c:v>1.0050699999999999</c:v>
                </c:pt>
                <c:pt idx="164">
                  <c:v>1.0051099999999999</c:v>
                </c:pt>
                <c:pt idx="165">
                  <c:v>1.0049600000000001</c:v>
                </c:pt>
                <c:pt idx="166">
                  <c:v>1.00543</c:v>
                </c:pt>
                <c:pt idx="167">
                  <c:v>1.0051699999999999</c:v>
                </c:pt>
                <c:pt idx="168">
                  <c:v>1.0036</c:v>
                </c:pt>
                <c:pt idx="169">
                  <c:v>1.00376</c:v>
                </c:pt>
                <c:pt idx="170">
                  <c:v>1.00366</c:v>
                </c:pt>
                <c:pt idx="171">
                  <c:v>1.00301</c:v>
                </c:pt>
                <c:pt idx="172">
                  <c:v>1.00349</c:v>
                </c:pt>
                <c:pt idx="173">
                  <c:v>1.0046200000000001</c:v>
                </c:pt>
                <c:pt idx="174">
                  <c:v>1.0041899999999999</c:v>
                </c:pt>
                <c:pt idx="175">
                  <c:v>1.0039100000000001</c:v>
                </c:pt>
                <c:pt idx="176">
                  <c:v>1.00362</c:v>
                </c:pt>
                <c:pt idx="177">
                  <c:v>1.00281</c:v>
                </c:pt>
                <c:pt idx="178">
                  <c:v>1.00176</c:v>
                </c:pt>
                <c:pt idx="179">
                  <c:v>1.00207</c:v>
                </c:pt>
                <c:pt idx="180">
                  <c:v>1.0025500000000001</c:v>
                </c:pt>
                <c:pt idx="181">
                  <c:v>1.0027900000000001</c:v>
                </c:pt>
                <c:pt idx="182">
                  <c:v>1.0027600000000001</c:v>
                </c:pt>
                <c:pt idx="183">
                  <c:v>1.00203</c:v>
                </c:pt>
                <c:pt idx="184">
                  <c:v>1.0020199999999999</c:v>
                </c:pt>
                <c:pt idx="185">
                  <c:v>1.0015000000000001</c:v>
                </c:pt>
                <c:pt idx="186">
                  <c:v>1.00288</c:v>
                </c:pt>
                <c:pt idx="187">
                  <c:v>1.0021599999999999</c:v>
                </c:pt>
                <c:pt idx="188">
                  <c:v>1.0022599999999999</c:v>
                </c:pt>
                <c:pt idx="189">
                  <c:v>1.0015400000000001</c:v>
                </c:pt>
                <c:pt idx="190">
                  <c:v>1.0016700000000001</c:v>
                </c:pt>
                <c:pt idx="191">
                  <c:v>1.0019400000000001</c:v>
                </c:pt>
                <c:pt idx="192">
                  <c:v>1.0010399999999999</c:v>
                </c:pt>
                <c:pt idx="193">
                  <c:v>1.00129</c:v>
                </c:pt>
                <c:pt idx="194">
                  <c:v>1.00163</c:v>
                </c:pt>
                <c:pt idx="195">
                  <c:v>1.00193</c:v>
                </c:pt>
                <c:pt idx="196">
                  <c:v>1.00159</c:v>
                </c:pt>
                <c:pt idx="197">
                  <c:v>1.0013399999999999</c:v>
                </c:pt>
                <c:pt idx="198">
                  <c:v>1.0012300000000001</c:v>
                </c:pt>
                <c:pt idx="199">
                  <c:v>1.0015099999999999</c:v>
                </c:pt>
                <c:pt idx="200">
                  <c:v>1.00109</c:v>
                </c:pt>
                <c:pt idx="201">
                  <c:v>1.00119</c:v>
                </c:pt>
                <c:pt idx="202">
                  <c:v>1.0009699999999999</c:v>
                </c:pt>
                <c:pt idx="203">
                  <c:v>1.00031</c:v>
                </c:pt>
                <c:pt idx="204">
                  <c:v>0.99975499999999995</c:v>
                </c:pt>
                <c:pt idx="205">
                  <c:v>1.0004999999999999</c:v>
                </c:pt>
                <c:pt idx="206">
                  <c:v>1.0004200000000001</c:v>
                </c:pt>
                <c:pt idx="207">
                  <c:v>1.0001800000000001</c:v>
                </c:pt>
                <c:pt idx="208">
                  <c:v>1.00095</c:v>
                </c:pt>
                <c:pt idx="209">
                  <c:v>1.00085</c:v>
                </c:pt>
                <c:pt idx="210">
                  <c:v>1.00057</c:v>
                </c:pt>
                <c:pt idx="211">
                  <c:v>1.0004</c:v>
                </c:pt>
                <c:pt idx="212">
                  <c:v>1.00065</c:v>
                </c:pt>
                <c:pt idx="213">
                  <c:v>1.00027</c:v>
                </c:pt>
                <c:pt idx="214">
                  <c:v>1.0005299999999999</c:v>
                </c:pt>
                <c:pt idx="215">
                  <c:v>1.00034</c:v>
                </c:pt>
                <c:pt idx="216">
                  <c:v>1.00061</c:v>
                </c:pt>
                <c:pt idx="217">
                  <c:v>1.0003899999999999</c:v>
                </c:pt>
                <c:pt idx="218">
                  <c:v>1.00061</c:v>
                </c:pt>
                <c:pt idx="219">
                  <c:v>1.00038</c:v>
                </c:pt>
                <c:pt idx="220">
                  <c:v>1.00085</c:v>
                </c:pt>
                <c:pt idx="221">
                  <c:v>1.0010600000000001</c:v>
                </c:pt>
                <c:pt idx="222">
                  <c:v>1.00109</c:v>
                </c:pt>
                <c:pt idx="223">
                  <c:v>1.0011099999999999</c:v>
                </c:pt>
                <c:pt idx="224">
                  <c:v>1.0010399999999999</c:v>
                </c:pt>
                <c:pt idx="225">
                  <c:v>1.0007600000000001</c:v>
                </c:pt>
                <c:pt idx="226">
                  <c:v>1.00071</c:v>
                </c:pt>
                <c:pt idx="227">
                  <c:v>1.0009600000000001</c:v>
                </c:pt>
                <c:pt idx="228">
                  <c:v>1.00129</c:v>
                </c:pt>
                <c:pt idx="229">
                  <c:v>1.0019800000000001</c:v>
                </c:pt>
                <c:pt idx="230">
                  <c:v>1.0013000000000001</c:v>
                </c:pt>
                <c:pt idx="231">
                  <c:v>1.0003599999999999</c:v>
                </c:pt>
                <c:pt idx="232">
                  <c:v>1.0006900000000001</c:v>
                </c:pt>
                <c:pt idx="233">
                  <c:v>1.0012799999999999</c:v>
                </c:pt>
                <c:pt idx="234">
                  <c:v>1.0009699999999999</c:v>
                </c:pt>
                <c:pt idx="235">
                  <c:v>1.00098</c:v>
                </c:pt>
                <c:pt idx="236">
                  <c:v>1.0009300000000001</c:v>
                </c:pt>
                <c:pt idx="237">
                  <c:v>1.0000500000000001</c:v>
                </c:pt>
                <c:pt idx="238">
                  <c:v>0.99951699999999999</c:v>
                </c:pt>
                <c:pt idx="239">
                  <c:v>0.99849500000000002</c:v>
                </c:pt>
                <c:pt idx="240">
                  <c:v>0.99945399999999995</c:v>
                </c:pt>
                <c:pt idx="241">
                  <c:v>1.0009699999999999</c:v>
                </c:pt>
                <c:pt idx="242">
                  <c:v>0.99965499999999996</c:v>
                </c:pt>
                <c:pt idx="243">
                  <c:v>0.99768100000000004</c:v>
                </c:pt>
                <c:pt idx="244">
                  <c:v>0.996286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665-441E-B9EA-74300DCDEE3E}"/>
            </c:ext>
          </c:extLst>
        </c:ser>
        <c:ser>
          <c:idx val="1"/>
          <c:order val="1"/>
          <c:tx>
            <c:strRef>
              <c:f>'2_EGFP+Rh110'!$E$1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'2_EGFP+Rh110'!$A$3:$A$252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'2_EGFP+Rh110'!$E$3:$E$200</c:f>
              <c:numCache>
                <c:formatCode>General</c:formatCode>
                <c:ptCount val="198"/>
                <c:pt idx="0">
                  <c:v>1.3993733023025785</c:v>
                </c:pt>
                <c:pt idx="1">
                  <c:v>1.3973304871516703</c:v>
                </c:pt>
                <c:pt idx="2">
                  <c:v>1.3954027219995557</c:v>
                </c:pt>
                <c:pt idx="3">
                  <c:v>1.3935833534375066</c:v>
                </c:pt>
                <c:pt idx="4">
                  <c:v>1.3918661130321388</c:v>
                </c:pt>
                <c:pt idx="5">
                  <c:v>1.3902450950499514</c:v>
                </c:pt>
                <c:pt idx="6">
                  <c:v>1.3887147354707698</c:v>
                </c:pt>
                <c:pt idx="7">
                  <c:v>1.3872697922155144</c:v>
                </c:pt>
                <c:pt idx="8">
                  <c:v>1.3859053265180319</c:v>
                </c:pt>
                <c:pt idx="9">
                  <c:v>1.3846166853747903</c:v>
                </c:pt>
                <c:pt idx="10">
                  <c:v>1.3833994850100713</c:v>
                </c:pt>
                <c:pt idx="11">
                  <c:v>1.3822495952979004</c:v>
                </c:pt>
                <c:pt idx="12">
                  <c:v>1.3811631250853562</c:v>
                </c:pt>
                <c:pt idx="13">
                  <c:v>1.3801364083651042</c:v>
                </c:pt>
                <c:pt idx="14">
                  <c:v>1.3791659912480145</c:v>
                </c:pt>
                <c:pt idx="15">
                  <c:v>1.3773812279264659</c:v>
                </c:pt>
                <c:pt idx="16">
                  <c:v>1.3757849974033785</c:v>
                </c:pt>
                <c:pt idx="17">
                  <c:v>1.3743561406811704</c:v>
                </c:pt>
                <c:pt idx="18">
                  <c:v>1.3730758764581223</c:v>
                </c:pt>
                <c:pt idx="19">
                  <c:v>1.3719275339323842</c:v>
                </c:pt>
                <c:pt idx="20">
                  <c:v>1.370896315632423</c:v>
                </c:pt>
                <c:pt idx="21">
                  <c:v>1.3699690868996606</c:v>
                </c:pt>
                <c:pt idx="22">
                  <c:v>1.3691341890282331</c:v>
                </c:pt>
                <c:pt idx="23">
                  <c:v>1.3677011542786646</c:v>
                </c:pt>
                <c:pt idx="24">
                  <c:v>1.3665276075004722</c:v>
                </c:pt>
                <c:pt idx="25">
                  <c:v>1.3655587084211902</c:v>
                </c:pt>
                <c:pt idx="26">
                  <c:v>1.3647512486713844</c:v>
                </c:pt>
                <c:pt idx="27">
                  <c:v>1.364071184386614</c:v>
                </c:pt>
                <c:pt idx="28">
                  <c:v>1.3634916922031952</c:v>
                </c:pt>
                <c:pt idx="29">
                  <c:v>1.3629916376234852</c:v>
                </c:pt>
                <c:pt idx="30">
                  <c:v>1.3625543682772849</c:v>
                </c:pt>
                <c:pt idx="31">
                  <c:v>1.3618184835567508</c:v>
                </c:pt>
                <c:pt idx="32">
                  <c:v>1.3612090415240807</c:v>
                </c:pt>
                <c:pt idx="33">
                  <c:v>1.3606794741336414</c:v>
                </c:pt>
                <c:pt idx="34">
                  <c:v>1.3602008604264886</c:v>
                </c:pt>
                <c:pt idx="35">
                  <c:v>1.3597552339950874</c:v>
                </c:pt>
                <c:pt idx="36">
                  <c:v>1.3593314285973679</c:v>
                </c:pt>
                <c:pt idx="37">
                  <c:v>1.3589224993243776</c:v>
                </c:pt>
                <c:pt idx="38">
                  <c:v>1.3585241217912494</c:v>
                </c:pt>
                <c:pt idx="39">
                  <c:v>1.3577492416744521</c:v>
                </c:pt>
                <c:pt idx="40">
                  <c:v>1.3569951753049294</c:v>
                </c:pt>
                <c:pt idx="41">
                  <c:v>1.3562572819629988</c:v>
                </c:pt>
                <c:pt idx="42">
                  <c:v>1.3555336108523766</c:v>
                </c:pt>
                <c:pt idx="43">
                  <c:v>1.3548232509377474</c:v>
                </c:pt>
                <c:pt idx="44">
                  <c:v>1.3541256950233567</c:v>
                </c:pt>
                <c:pt idx="45">
                  <c:v>1.3534405946498651</c:v>
                </c:pt>
                <c:pt idx="46">
                  <c:v>1.3527676655862926</c:v>
                </c:pt>
                <c:pt idx="47">
                  <c:v>1.3514573091002571</c:v>
                </c:pt>
                <c:pt idx="48">
                  <c:v>1.3501927076614835</c:v>
                </c:pt>
                <c:pt idx="49">
                  <c:v>1.3489720502221321</c:v>
                </c:pt>
                <c:pt idx="50">
                  <c:v>1.3477936020786634</c:v>
                </c:pt>
                <c:pt idx="51">
                  <c:v>1.3466556979440594</c:v>
                </c:pt>
                <c:pt idx="52">
                  <c:v>1.3455567386168128</c:v>
                </c:pt>
                <c:pt idx="53">
                  <c:v>1.3444951882752529</c:v>
                </c:pt>
                <c:pt idx="54">
                  <c:v>1.3434695719523906</c:v>
                </c:pt>
                <c:pt idx="55">
                  <c:v>1.3415205313806071</c:v>
                </c:pt>
                <c:pt idx="56">
                  <c:v>1.3396989449141046</c:v>
                </c:pt>
                <c:pt idx="57">
                  <c:v>1.3379949694434519</c:v>
                </c:pt>
                <c:pt idx="58">
                  <c:v>1.3363995263294988</c:v>
                </c:pt>
                <c:pt idx="59">
                  <c:v>1.334904242001796</c:v>
                </c:pt>
                <c:pt idx="60">
                  <c:v>1.3335013931738233</c:v>
                </c:pt>
                <c:pt idx="61">
                  <c:v>1.332183856316111</c:v>
                </c:pt>
                <c:pt idx="62">
                  <c:v>1.3309450610562528</c:v>
                </c:pt>
                <c:pt idx="63">
                  <c:v>1.3286799250957011</c:v>
                </c:pt>
                <c:pt idx="64">
                  <c:v>1.3266629337218461</c:v>
                </c:pt>
                <c:pt idx="65">
                  <c:v>1.3248574605959849</c:v>
                </c:pt>
                <c:pt idx="66">
                  <c:v>1.3232323450483761</c:v>
                </c:pt>
                <c:pt idx="67">
                  <c:v>1.3217610758530789</c:v>
                </c:pt>
                <c:pt idx="68">
                  <c:v>1.3204210969242565</c:v>
                </c:pt>
                <c:pt idx="69">
                  <c:v>1.3191932167183746</c:v>
                </c:pt>
                <c:pt idx="70">
                  <c:v>1.3180611058488054</c:v>
                </c:pt>
                <c:pt idx="71">
                  <c:v>1.3160306850738821</c:v>
                </c:pt>
                <c:pt idx="72">
                  <c:v>1.3142417240705757</c:v>
                </c:pt>
                <c:pt idx="73">
                  <c:v>1.31263041142951</c:v>
                </c:pt>
                <c:pt idx="74">
                  <c:v>1.3111505216609511</c:v>
                </c:pt>
                <c:pt idx="75">
                  <c:v>1.3097685571877116</c:v>
                </c:pt>
                <c:pt idx="76">
                  <c:v>1.308460232757287</c:v>
                </c:pt>
                <c:pt idx="77">
                  <c:v>1.3072079312544276</c:v>
                </c:pt>
                <c:pt idx="78">
                  <c:v>1.3059988624554091</c:v>
                </c:pt>
                <c:pt idx="79">
                  <c:v>1.30367576930616</c:v>
                </c:pt>
                <c:pt idx="80">
                  <c:v>1.3014429496117137</c:v>
                </c:pt>
                <c:pt idx="81">
                  <c:v>1.2992747570205185</c:v>
                </c:pt>
                <c:pt idx="82">
                  <c:v>1.2971572776937286</c:v>
                </c:pt>
                <c:pt idx="83">
                  <c:v>1.2950827631145252</c:v>
                </c:pt>
                <c:pt idx="84">
                  <c:v>1.29304671238136</c:v>
                </c:pt>
                <c:pt idx="85">
                  <c:v>1.2910463425961365</c:v>
                </c:pt>
                <c:pt idx="86">
                  <c:v>1.2890797865728401</c:v>
                </c:pt>
                <c:pt idx="87">
                  <c:v>1.2852428985108379</c:v>
                </c:pt>
                <c:pt idx="88">
                  <c:v>1.2815277004324606</c:v>
                </c:pt>
                <c:pt idx="89">
                  <c:v>1.277927604291571</c:v>
                </c:pt>
                <c:pt idx="90">
                  <c:v>1.2744367947521553</c:v>
                </c:pt>
                <c:pt idx="91">
                  <c:v>1.2710499337701213</c:v>
                </c:pt>
                <c:pt idx="92">
                  <c:v>1.267762057634225</c:v>
                </c:pt>
                <c:pt idx="93">
                  <c:v>1.264568529029678</c:v>
                </c:pt>
                <c:pt idx="94">
                  <c:v>1.2614650061086925</c:v>
                </c:pt>
                <c:pt idx="95">
                  <c:v>1.2555119430060879</c:v>
                </c:pt>
                <c:pt idx="96">
                  <c:v>1.2498731821381586</c:v>
                </c:pt>
                <c:pt idx="97">
                  <c:v>1.2445224593037065</c:v>
                </c:pt>
                <c:pt idx="98">
                  <c:v>1.2394364475623343</c:v>
                </c:pt>
                <c:pt idx="99">
                  <c:v>1.2345943531763983</c:v>
                </c:pt>
                <c:pt idx="100">
                  <c:v>1.2299775767546501</c:v>
                </c:pt>
                <c:pt idx="101">
                  <c:v>1.2255694276101512</c:v>
                </c:pt>
                <c:pt idx="102">
                  <c:v>1.2213548818145248</c:v>
                </c:pt>
                <c:pt idx="103">
                  <c:v>1.2134536330827688</c:v>
                </c:pt>
                <c:pt idx="104">
                  <c:v>1.2061798610122025</c:v>
                </c:pt>
                <c:pt idx="105">
                  <c:v>1.1994558010835559</c:v>
                </c:pt>
                <c:pt idx="106">
                  <c:v>1.1932164941522208</c:v>
                </c:pt>
                <c:pt idx="107">
                  <c:v>1.1874072133995905</c:v>
                </c:pt>
                <c:pt idx="108">
                  <c:v>1.1819814919351241</c:v>
                </c:pt>
                <c:pt idx="109">
                  <c:v>1.1768995931093584</c:v>
                </c:pt>
                <c:pt idx="110">
                  <c:v>1.1721273114041308</c:v>
                </c:pt>
                <c:pt idx="111">
                  <c:v>1.1633969280753869</c:v>
                </c:pt>
                <c:pt idx="112">
                  <c:v>1.1555956822412918</c:v>
                </c:pt>
                <c:pt idx="113">
                  <c:v>1.1485731009091886</c:v>
                </c:pt>
                <c:pt idx="114">
                  <c:v>1.1422107856606476</c:v>
                </c:pt>
                <c:pt idx="115">
                  <c:v>1.1364141184572787</c:v>
                </c:pt>
                <c:pt idx="116">
                  <c:v>1.1311064438907181</c:v>
                </c:pt>
                <c:pt idx="117">
                  <c:v>1.1262249008522733</c:v>
                </c:pt>
                <c:pt idx="118">
                  <c:v>1.1217173789204429</c:v>
                </c:pt>
                <c:pt idx="119">
                  <c:v>1.1136567035354556</c:v>
                </c:pt>
                <c:pt idx="120">
                  <c:v>1.1066493588240354</c:v>
                </c:pt>
                <c:pt idx="121">
                  <c:v>1.1004936263530669</c:v>
                </c:pt>
                <c:pt idx="122">
                  <c:v>1.0950377120590826</c:v>
                </c:pt>
                <c:pt idx="123">
                  <c:v>1.0901648836013673</c:v>
                </c:pt>
                <c:pt idx="124">
                  <c:v>1.085783693320753</c:v>
                </c:pt>
                <c:pt idx="125">
                  <c:v>1.0818213469946762</c:v>
                </c:pt>
                <c:pt idx="126">
                  <c:v>1.0782190858515841</c:v>
                </c:pt>
                <c:pt idx="127">
                  <c:v>1.0719111138402801</c:v>
                </c:pt>
                <c:pt idx="128">
                  <c:v>1.0665656902901282</c:v>
                </c:pt>
                <c:pt idx="129">
                  <c:v>1.0619752441451966</c:v>
                </c:pt>
                <c:pt idx="130">
                  <c:v>1.0579886910212777</c:v>
                </c:pt>
                <c:pt idx="131">
                  <c:v>1.0544932224190178</c:v>
                </c:pt>
                <c:pt idx="132">
                  <c:v>1.0514027791478699</c:v>
                </c:pt>
                <c:pt idx="133">
                  <c:v>1.0486504901500766</c:v>
                </c:pt>
                <c:pt idx="134">
                  <c:v>1.0461835599628666</c:v>
                </c:pt>
                <c:pt idx="135">
                  <c:v>1.0419447132078006</c:v>
                </c:pt>
                <c:pt idx="136">
                  <c:v>1.0384337389833844</c:v>
                </c:pt>
                <c:pt idx="137">
                  <c:v>1.035478343160712</c:v>
                </c:pt>
                <c:pt idx="138">
                  <c:v>1.0329567987648707</c:v>
                </c:pt>
                <c:pt idx="139">
                  <c:v>1.0307805960319474</c:v>
                </c:pt>
                <c:pt idx="140">
                  <c:v>1.0288838012614463</c:v>
                </c:pt>
                <c:pt idx="141">
                  <c:v>1.0272162721338889</c:v>
                </c:pt>
                <c:pt idx="142">
                  <c:v>1.0257391874124588</c:v>
                </c:pt>
                <c:pt idx="143">
                  <c:v>1.0232404191317734</c:v>
                </c:pt>
                <c:pt idx="144">
                  <c:v>1.0212089577819712</c:v>
                </c:pt>
                <c:pt idx="145">
                  <c:v>1.0195264134447097</c:v>
                </c:pt>
                <c:pt idx="146">
                  <c:v>1.0181111775183225</c:v>
                </c:pt>
                <c:pt idx="147">
                  <c:v>1.0169051711436836</c:v>
                </c:pt>
                <c:pt idx="148">
                  <c:v>1.0158659401717576</c:v>
                </c:pt>
                <c:pt idx="149">
                  <c:v>1.0149617370186921</c:v>
                </c:pt>
                <c:pt idx="150">
                  <c:v>1.0141683501291048</c:v>
                </c:pt>
                <c:pt idx="151">
                  <c:v>1.0128428855011504</c:v>
                </c:pt>
                <c:pt idx="152">
                  <c:v>1.0117814405415213</c:v>
                </c:pt>
                <c:pt idx="153">
                  <c:v>1.0109138488909828</c:v>
                </c:pt>
                <c:pt idx="154">
                  <c:v>1.0101926190525594</c:v>
                </c:pt>
                <c:pt idx="155">
                  <c:v>1.0095844840112023</c:v>
                </c:pt>
                <c:pt idx="156">
                  <c:v>1.0090654633084584</c:v>
                </c:pt>
                <c:pt idx="157">
                  <c:v>1.0086178455769466</c:v>
                </c:pt>
                <c:pt idx="158">
                  <c:v>1.008228273820202</c:v>
                </c:pt>
                <c:pt idx="159">
                  <c:v>1.0075844929551911</c:v>
                </c:pt>
                <c:pt idx="160">
                  <c:v>1.0070757815223448</c:v>
                </c:pt>
                <c:pt idx="161">
                  <c:v>1.0066648853267537</c:v>
                </c:pt>
                <c:pt idx="162">
                  <c:v>1.0063269423661119</c:v>
                </c:pt>
                <c:pt idx="163">
                  <c:v>1.0060447528564014</c:v>
                </c:pt>
                <c:pt idx="164">
                  <c:v>1.0058060560943478</c:v>
                </c:pt>
                <c:pt idx="165">
                  <c:v>1.0056018879584958</c:v>
                </c:pt>
                <c:pt idx="166">
                  <c:v>1.0054255506861682</c:v>
                </c:pt>
                <c:pt idx="167">
                  <c:v>1.0051371230331632</c:v>
                </c:pt>
                <c:pt idx="168">
                  <c:v>1.0049120654741368</c:v>
                </c:pt>
                <c:pt idx="169">
                  <c:v>1.0047323078069093</c:v>
                </c:pt>
                <c:pt idx="170">
                  <c:v>1.0045859442745082</c:v>
                </c:pt>
                <c:pt idx="171">
                  <c:v>1.0044648331588388</c:v>
                </c:pt>
                <c:pt idx="172">
                  <c:v>1.0043632317027378</c:v>
                </c:pt>
                <c:pt idx="173">
                  <c:v>1.0042769818244008</c:v>
                </c:pt>
                <c:pt idx="174">
                  <c:v>1.0042030045225951</c:v>
                </c:pt>
                <c:pt idx="175">
                  <c:v>1.0040831079686448</c:v>
                </c:pt>
                <c:pt idx="176">
                  <c:v>1.003990584996187</c:v>
                </c:pt>
                <c:pt idx="177">
                  <c:v>1.0039173937444736</c:v>
                </c:pt>
                <c:pt idx="178">
                  <c:v>1.0038583014308529</c:v>
                </c:pt>
                <c:pt idx="179">
                  <c:v>1.0038097693246149</c:v>
                </c:pt>
                <c:pt idx="180">
                  <c:v>1.0037693263330227</c:v>
                </c:pt>
                <c:pt idx="181">
                  <c:v>1.0037351994569177</c:v>
                </c:pt>
                <c:pt idx="182">
                  <c:v>1.0037060866542038</c:v>
                </c:pt>
                <c:pt idx="183">
                  <c:v>1.0036592321832261</c:v>
                </c:pt>
                <c:pt idx="184">
                  <c:v>1.0036233728236217</c:v>
                </c:pt>
                <c:pt idx="185">
                  <c:v>1.0035952038074918</c:v>
                </c:pt>
                <c:pt idx="186">
                  <c:v>1.0035725971923952</c:v>
                </c:pt>
                <c:pt idx="187">
                  <c:v>1.003554126989983</c:v>
                </c:pt>
                <c:pt idx="188">
                  <c:v>1.0035388053629168</c:v>
                </c:pt>
                <c:pt idx="189">
                  <c:v>1.003525928535473</c:v>
                </c:pt>
                <c:pt idx="190">
                  <c:v>1.0035149829190777</c:v>
                </c:pt>
                <c:pt idx="191">
                  <c:v>1.003497446901747</c:v>
                </c:pt>
                <c:pt idx="192">
                  <c:v>1.0034840966207677</c:v>
                </c:pt>
                <c:pt idx="193">
                  <c:v>1.003473655247852</c:v>
                </c:pt>
                <c:pt idx="194">
                  <c:v>1.0034653065723684</c:v>
                </c:pt>
                <c:pt idx="195">
                  <c:v>1.0034585069821642</c:v>
                </c:pt>
                <c:pt idx="196">
                  <c:v>1.0034528818782853</c:v>
                </c:pt>
                <c:pt idx="197">
                  <c:v>1.0034481656012675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665-441E-B9EA-74300DCDE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09664"/>
        <c:axId val="157411200"/>
      </c:scatterChart>
      <c:valAx>
        <c:axId val="15740966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411200"/>
        <c:crosses val="autoZero"/>
        <c:crossBetween val="midCat"/>
      </c:valAx>
      <c:valAx>
        <c:axId val="157411200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409664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567224652473997"/>
          <c:y val="8.4598698481561818E-2"/>
          <c:w val="0.12089573247788465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602146746582045E-2"/>
          <c:y val="4.5454545454545456E-2"/>
          <c:w val="0.86815983076742276"/>
          <c:h val="0.8352272727272727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'2_EGFP+Rh110'!$F$1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'2_EGFP+Rh110'!$A$3:$A$235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'2_EGFP+Rh110'!$F$5:$F$200</c:f>
              <c:numCache>
                <c:formatCode>General</c:formatCode>
                <c:ptCount val="196"/>
                <c:pt idx="0">
                  <c:v>3.6877278000444269E-2</c:v>
                </c:pt>
                <c:pt idx="1">
                  <c:v>1.2746646562493469E-2</c:v>
                </c:pt>
                <c:pt idx="2">
                  <c:v>-3.0736113032138856E-2</c:v>
                </c:pt>
                <c:pt idx="3">
                  <c:v>-1.2095095049951432E-2</c:v>
                </c:pt>
                <c:pt idx="4">
                  <c:v>-2.2004735470769754E-2</c:v>
                </c:pt>
                <c:pt idx="5">
                  <c:v>-1.8697922155144209E-3</c:v>
                </c:pt>
                <c:pt idx="6">
                  <c:v>8.9467348196814456E-4</c:v>
                </c:pt>
                <c:pt idx="7">
                  <c:v>-8.6966853747902917E-3</c:v>
                </c:pt>
                <c:pt idx="8">
                  <c:v>5.9105149899287834E-3</c:v>
                </c:pt>
                <c:pt idx="9">
                  <c:v>-1.0295952979004763E-3</c:v>
                </c:pt>
                <c:pt idx="10">
                  <c:v>4.1346874914643728E-2</c:v>
                </c:pt>
                <c:pt idx="11">
                  <c:v>-4.7764083651042899E-3</c:v>
                </c:pt>
                <c:pt idx="12">
                  <c:v>7.4940087519854703E-3</c:v>
                </c:pt>
                <c:pt idx="13">
                  <c:v>-2.3012279264658098E-3</c:v>
                </c:pt>
                <c:pt idx="14">
                  <c:v>5.4500259662160211E-4</c:v>
                </c:pt>
                <c:pt idx="15">
                  <c:v>7.413859318829541E-3</c:v>
                </c:pt>
                <c:pt idx="16">
                  <c:v>-6.085876458122419E-3</c:v>
                </c:pt>
                <c:pt idx="17">
                  <c:v>-7.0375339323842656E-3</c:v>
                </c:pt>
                <c:pt idx="18">
                  <c:v>8.5036843675769802E-3</c:v>
                </c:pt>
                <c:pt idx="19">
                  <c:v>-1.2749086899660478E-2</c:v>
                </c:pt>
                <c:pt idx="20">
                  <c:v>1.125810971766894E-3</c:v>
                </c:pt>
                <c:pt idx="21">
                  <c:v>9.9588457213355408E-3</c:v>
                </c:pt>
                <c:pt idx="22">
                  <c:v>-2.0467607500472162E-2</c:v>
                </c:pt>
                <c:pt idx="23">
                  <c:v>-1.0428708421190258E-2</c:v>
                </c:pt>
                <c:pt idx="24">
                  <c:v>4.8887513286155482E-3</c:v>
                </c:pt>
                <c:pt idx="25">
                  <c:v>6.3288156133860518E-3</c:v>
                </c:pt>
                <c:pt idx="26">
                  <c:v>-7.5316922031951616E-3</c:v>
                </c:pt>
                <c:pt idx="27">
                  <c:v>1.2228362376514923E-2</c:v>
                </c:pt>
                <c:pt idx="28">
                  <c:v>4.3256317227151619E-3</c:v>
                </c:pt>
                <c:pt idx="29">
                  <c:v>-2.7484835567508359E-3</c:v>
                </c:pt>
                <c:pt idx="30">
                  <c:v>6.4009584759192606E-3</c:v>
                </c:pt>
                <c:pt idx="31">
                  <c:v>-4.2994741336415121E-3</c:v>
                </c:pt>
                <c:pt idx="32">
                  <c:v>1.2089139573511432E-2</c:v>
                </c:pt>
                <c:pt idx="33">
                  <c:v>-6.4452339950873405E-3</c:v>
                </c:pt>
                <c:pt idx="34">
                  <c:v>7.0585714026321078E-3</c:v>
                </c:pt>
                <c:pt idx="35">
                  <c:v>-1.7724993243775078E-3</c:v>
                </c:pt>
                <c:pt idx="36">
                  <c:v>1.5258782087506084E-3</c:v>
                </c:pt>
                <c:pt idx="37">
                  <c:v>3.2075832554800954E-4</c:v>
                </c:pt>
                <c:pt idx="38">
                  <c:v>-7.2951753049295132E-3</c:v>
                </c:pt>
                <c:pt idx="39">
                  <c:v>-5.1728196299882789E-4</c:v>
                </c:pt>
                <c:pt idx="40">
                  <c:v>1.5963891476233893E-3</c:v>
                </c:pt>
                <c:pt idx="41">
                  <c:v>-4.4932509377473284E-3</c:v>
                </c:pt>
                <c:pt idx="42">
                  <c:v>-2.8856950233566714E-3</c:v>
                </c:pt>
                <c:pt idx="43">
                  <c:v>-1.7805946498650194E-3</c:v>
                </c:pt>
                <c:pt idx="44">
                  <c:v>2.0233441370742788E-4</c:v>
                </c:pt>
                <c:pt idx="45">
                  <c:v>5.6826908997429371E-3</c:v>
                </c:pt>
                <c:pt idx="46">
                  <c:v>-8.527076614834872E-4</c:v>
                </c:pt>
                <c:pt idx="47">
                  <c:v>1.3579497778679617E-3</c:v>
                </c:pt>
                <c:pt idx="48">
                  <c:v>-4.2536020786634321E-3</c:v>
                </c:pt>
                <c:pt idx="49">
                  <c:v>3.4143020559407322E-3</c:v>
                </c:pt>
                <c:pt idx="50">
                  <c:v>-2.1967386168126879E-3</c:v>
                </c:pt>
                <c:pt idx="51">
                  <c:v>-7.4518827525293929E-4</c:v>
                </c:pt>
                <c:pt idx="52">
                  <c:v>-1.6395719523905061E-3</c:v>
                </c:pt>
                <c:pt idx="53">
                  <c:v>-1.1605313806071216E-3</c:v>
                </c:pt>
                <c:pt idx="54">
                  <c:v>-2.3189449141045593E-3</c:v>
                </c:pt>
                <c:pt idx="55">
                  <c:v>3.8503055654803831E-4</c:v>
                </c:pt>
                <c:pt idx="56">
                  <c:v>1.1047367050132095E-4</c:v>
                </c:pt>
                <c:pt idx="57">
                  <c:v>8.0575799820392646E-4</c:v>
                </c:pt>
                <c:pt idx="58">
                  <c:v>-1.4139317382322325E-4</c:v>
                </c:pt>
                <c:pt idx="59">
                  <c:v>-5.5838563161110244E-3</c:v>
                </c:pt>
                <c:pt idx="60">
                  <c:v>-8.45061056252705E-4</c:v>
                </c:pt>
                <c:pt idx="61">
                  <c:v>6.1007490429898503E-4</c:v>
                </c:pt>
                <c:pt idx="62">
                  <c:v>2.6706627815387129E-4</c:v>
                </c:pt>
                <c:pt idx="63">
                  <c:v>-3.274605959848742E-4</c:v>
                </c:pt>
                <c:pt idx="64">
                  <c:v>-9.5234504837615752E-4</c:v>
                </c:pt>
                <c:pt idx="65">
                  <c:v>3.7489241469210732E-3</c:v>
                </c:pt>
                <c:pt idx="66">
                  <c:v>1.6589030757434564E-3</c:v>
                </c:pt>
                <c:pt idx="67">
                  <c:v>5.6867832816254182E-3</c:v>
                </c:pt>
                <c:pt idx="68">
                  <c:v>3.708894151194464E-3</c:v>
                </c:pt>
                <c:pt idx="69">
                  <c:v>2.5193149261180103E-3</c:v>
                </c:pt>
                <c:pt idx="70">
                  <c:v>2.2582759294242916E-3</c:v>
                </c:pt>
                <c:pt idx="71">
                  <c:v>2.2795885704900432E-3</c:v>
                </c:pt>
                <c:pt idx="72">
                  <c:v>2.179478339048968E-3</c:v>
                </c:pt>
                <c:pt idx="73">
                  <c:v>1.0814428122885023E-3</c:v>
                </c:pt>
                <c:pt idx="74">
                  <c:v>1.5797672427131371E-3</c:v>
                </c:pt>
                <c:pt idx="75">
                  <c:v>5.0206874557234826E-4</c:v>
                </c:pt>
                <c:pt idx="76">
                  <c:v>-6.4886245540907161E-4</c:v>
                </c:pt>
                <c:pt idx="77">
                  <c:v>-1.5576930616001405E-4</c:v>
                </c:pt>
                <c:pt idx="78">
                  <c:v>1.5470503882863973E-3</c:v>
                </c:pt>
                <c:pt idx="79">
                  <c:v>-4.0475702051856466E-4</c:v>
                </c:pt>
                <c:pt idx="80">
                  <c:v>1.8272230627136565E-4</c:v>
                </c:pt>
                <c:pt idx="81">
                  <c:v>-4.1276311452520531E-4</c:v>
                </c:pt>
                <c:pt idx="82">
                  <c:v>-1.2671238135997243E-4</c:v>
                </c:pt>
                <c:pt idx="83">
                  <c:v>1.5365740386341642E-4</c:v>
                </c:pt>
                <c:pt idx="84">
                  <c:v>-3.6978657284003624E-4</c:v>
                </c:pt>
                <c:pt idx="85">
                  <c:v>-4.4289851083800791E-4</c:v>
                </c:pt>
                <c:pt idx="86">
                  <c:v>-1.4777004324606491E-3</c:v>
                </c:pt>
                <c:pt idx="87">
                  <c:v>-1.3376042915711484E-3</c:v>
                </c:pt>
                <c:pt idx="88">
                  <c:v>-5.2679475215522409E-4</c:v>
                </c:pt>
                <c:pt idx="89">
                  <c:v>-6.6993377012125599E-4</c:v>
                </c:pt>
                <c:pt idx="90">
                  <c:v>2.5794236577492136E-4</c:v>
                </c:pt>
                <c:pt idx="91">
                  <c:v>-1.5485290296779475E-3</c:v>
                </c:pt>
                <c:pt idx="92">
                  <c:v>-8.0500610869260747E-4</c:v>
                </c:pt>
                <c:pt idx="93">
                  <c:v>-1.2519430060879966E-3</c:v>
                </c:pt>
                <c:pt idx="94">
                  <c:v>-1.2631821381585695E-3</c:v>
                </c:pt>
                <c:pt idx="95">
                  <c:v>-1.9624593037064209E-3</c:v>
                </c:pt>
                <c:pt idx="96">
                  <c:v>-1.2864475623342031E-3</c:v>
                </c:pt>
                <c:pt idx="97">
                  <c:v>-1.8643531763982146E-3</c:v>
                </c:pt>
                <c:pt idx="98">
                  <c:v>-1.6075767546501751E-3</c:v>
                </c:pt>
                <c:pt idx="99">
                  <c:v>-1.5494276101510884E-3</c:v>
                </c:pt>
                <c:pt idx="100">
                  <c:v>-1.1648818145246764E-3</c:v>
                </c:pt>
                <c:pt idx="101">
                  <c:v>-1.523633082768816E-3</c:v>
                </c:pt>
                <c:pt idx="102">
                  <c:v>-1.349861012202469E-3</c:v>
                </c:pt>
                <c:pt idx="103">
                  <c:v>-9.2580108355577728E-4</c:v>
                </c:pt>
                <c:pt idx="104">
                  <c:v>-1.5564941522208109E-3</c:v>
                </c:pt>
                <c:pt idx="105">
                  <c:v>-1.9572133995906515E-3</c:v>
                </c:pt>
                <c:pt idx="106">
                  <c:v>-1.0714919351242358E-3</c:v>
                </c:pt>
                <c:pt idx="107">
                  <c:v>-1.4995931093584325E-3</c:v>
                </c:pt>
                <c:pt idx="108">
                  <c:v>-1.3273114041307821E-3</c:v>
                </c:pt>
                <c:pt idx="109">
                  <c:v>-1.5269280753869019E-3</c:v>
                </c:pt>
                <c:pt idx="110">
                  <c:v>-7.3568224129183513E-4</c:v>
                </c:pt>
                <c:pt idx="111">
                  <c:v>-7.2310090918858982E-4</c:v>
                </c:pt>
                <c:pt idx="112">
                  <c:v>-4.5078566064749026E-4</c:v>
                </c:pt>
                <c:pt idx="113">
                  <c:v>-6.541184572785852E-4</c:v>
                </c:pt>
                <c:pt idx="114">
                  <c:v>-7.2644389071818694E-4</c:v>
                </c:pt>
                <c:pt idx="115">
                  <c:v>-7.0490085227326027E-4</c:v>
                </c:pt>
                <c:pt idx="116">
                  <c:v>-7.7378920442905397E-5</c:v>
                </c:pt>
                <c:pt idx="117">
                  <c:v>1.1329646454427689E-4</c:v>
                </c:pt>
                <c:pt idx="118">
                  <c:v>1.0064117596453315E-4</c:v>
                </c:pt>
                <c:pt idx="119">
                  <c:v>4.9637364693300157E-4</c:v>
                </c:pt>
                <c:pt idx="120">
                  <c:v>1.0222879409174102E-3</c:v>
                </c:pt>
                <c:pt idx="121">
                  <c:v>1.0151163986327205E-3</c:v>
                </c:pt>
                <c:pt idx="122">
                  <c:v>1.5263066792470248E-3</c:v>
                </c:pt>
                <c:pt idx="123">
                  <c:v>1.7986530053237804E-3</c:v>
                </c:pt>
                <c:pt idx="124">
                  <c:v>1.99091414841579E-3</c:v>
                </c:pt>
                <c:pt idx="125">
                  <c:v>1.5788861597199055E-3</c:v>
                </c:pt>
                <c:pt idx="126">
                  <c:v>1.8243097098717964E-3</c:v>
                </c:pt>
                <c:pt idx="127">
                  <c:v>1.8447558548033705E-3</c:v>
                </c:pt>
                <c:pt idx="128">
                  <c:v>2.2013089787222828E-3</c:v>
                </c:pt>
                <c:pt idx="129">
                  <c:v>2.1367775809821854E-3</c:v>
                </c:pt>
                <c:pt idx="130">
                  <c:v>2.3472208521300164E-3</c:v>
                </c:pt>
                <c:pt idx="131">
                  <c:v>2.4595098499233803E-3</c:v>
                </c:pt>
                <c:pt idx="132">
                  <c:v>2.5164400371333606E-3</c:v>
                </c:pt>
                <c:pt idx="133">
                  <c:v>2.3852867921994036E-3</c:v>
                </c:pt>
                <c:pt idx="134">
                  <c:v>2.6962610166156864E-3</c:v>
                </c:pt>
                <c:pt idx="135">
                  <c:v>2.7216568392880447E-3</c:v>
                </c:pt>
                <c:pt idx="136">
                  <c:v>2.6032012351293599E-3</c:v>
                </c:pt>
                <c:pt idx="137">
                  <c:v>2.2494039680525102E-3</c:v>
                </c:pt>
                <c:pt idx="138">
                  <c:v>2.2661987385537152E-3</c:v>
                </c:pt>
                <c:pt idx="139">
                  <c:v>1.9237278661110579E-3</c:v>
                </c:pt>
                <c:pt idx="140">
                  <c:v>1.8308125875412529E-3</c:v>
                </c:pt>
                <c:pt idx="141">
                  <c:v>1.4195808682264666E-3</c:v>
                </c:pt>
                <c:pt idx="142">
                  <c:v>9.9104221802881476E-4</c:v>
                </c:pt>
                <c:pt idx="143">
                  <c:v>6.1358655529031303E-4</c:v>
                </c:pt>
                <c:pt idx="144">
                  <c:v>2.8822481677570622E-5</c:v>
                </c:pt>
                <c:pt idx="145">
                  <c:v>5.3482885631628285E-4</c:v>
                </c:pt>
                <c:pt idx="146">
                  <c:v>8.9405982824253272E-4</c:v>
                </c:pt>
                <c:pt idx="147">
                  <c:v>5.8826298130787436E-4</c:v>
                </c:pt>
                <c:pt idx="148">
                  <c:v>7.3164987089513467E-4</c:v>
                </c:pt>
                <c:pt idx="149">
                  <c:v>1.0571144988495984E-3</c:v>
                </c:pt>
                <c:pt idx="150">
                  <c:v>8.8559458478743025E-5</c:v>
                </c:pt>
                <c:pt idx="151">
                  <c:v>-7.4384889098277895E-4</c:v>
                </c:pt>
                <c:pt idx="152">
                  <c:v>-2.7261905255948626E-4</c:v>
                </c:pt>
                <c:pt idx="153">
                  <c:v>-3.0448401120231061E-4</c:v>
                </c:pt>
                <c:pt idx="154">
                  <c:v>-6.2546330845836273E-4</c:v>
                </c:pt>
                <c:pt idx="155">
                  <c:v>-8.1784557694652982E-4</c:v>
                </c:pt>
                <c:pt idx="156">
                  <c:v>1.0172617979797849E-4</c:v>
                </c:pt>
                <c:pt idx="157">
                  <c:v>-8.4492955191084462E-5</c:v>
                </c:pt>
                <c:pt idx="158">
                  <c:v>-7.8578152234487497E-4</c:v>
                </c:pt>
                <c:pt idx="159">
                  <c:v>-1.2148853267537341E-3</c:v>
                </c:pt>
                <c:pt idx="160">
                  <c:v>-1.2569423661119572E-3</c:v>
                </c:pt>
                <c:pt idx="161">
                  <c:v>-9.3475285640143291E-4</c:v>
                </c:pt>
                <c:pt idx="162">
                  <c:v>-8.4605609434773577E-4</c:v>
                </c:pt>
                <c:pt idx="163">
                  <c:v>-1.7188795849576444E-4</c:v>
                </c:pt>
                <c:pt idx="164">
                  <c:v>-2.5555068616833765E-4</c:v>
                </c:pt>
                <c:pt idx="165">
                  <c:v>-1.5371230331631125E-3</c:v>
                </c:pt>
                <c:pt idx="166">
                  <c:v>-1.1520654741368208E-3</c:v>
                </c:pt>
                <c:pt idx="167">
                  <c:v>-1.0723078069092562E-3</c:v>
                </c:pt>
                <c:pt idx="168">
                  <c:v>-1.5759442745082453E-3</c:v>
                </c:pt>
                <c:pt idx="169">
                  <c:v>-9.7483315883883925E-4</c:v>
                </c:pt>
                <c:pt idx="170">
                  <c:v>2.5676829726228867E-4</c:v>
                </c:pt>
                <c:pt idx="171">
                  <c:v>-8.6981824400922392E-5</c:v>
                </c:pt>
                <c:pt idx="172">
                  <c:v>-2.9300452259506393E-4</c:v>
                </c:pt>
                <c:pt idx="173">
                  <c:v>-4.6310796864479364E-4</c:v>
                </c:pt>
                <c:pt idx="174">
                  <c:v>-1.1805849961870063E-3</c:v>
                </c:pt>
                <c:pt idx="175">
                  <c:v>-2.1573937444736568E-3</c:v>
                </c:pt>
                <c:pt idx="176">
                  <c:v>-1.7883014308528455E-3</c:v>
                </c:pt>
                <c:pt idx="177">
                  <c:v>-1.2597693246148012E-3</c:v>
                </c:pt>
                <c:pt idx="178">
                  <c:v>-9.7932633302266758E-4</c:v>
                </c:pt>
                <c:pt idx="179">
                  <c:v>-9.7519945691759702E-4</c:v>
                </c:pt>
                <c:pt idx="180">
                  <c:v>-1.6760866542038233E-3</c:v>
                </c:pt>
                <c:pt idx="181">
                  <c:v>-1.6392321832261469E-3</c:v>
                </c:pt>
                <c:pt idx="182">
                  <c:v>-2.1233728236216276E-3</c:v>
                </c:pt>
                <c:pt idx="183">
                  <c:v>-7.1520380749179324E-4</c:v>
                </c:pt>
                <c:pt idx="184">
                  <c:v>-1.4125971923952818E-3</c:v>
                </c:pt>
                <c:pt idx="185">
                  <c:v>-1.294126989983102E-3</c:v>
                </c:pt>
                <c:pt idx="186">
                  <c:v>-1.9988053629167446E-3</c:v>
                </c:pt>
                <c:pt idx="187">
                  <c:v>-1.8559285354728949E-3</c:v>
                </c:pt>
                <c:pt idx="188">
                  <c:v>-1.5749829190776499E-3</c:v>
                </c:pt>
                <c:pt idx="189">
                  <c:v>-2.4574469017470957E-3</c:v>
                </c:pt>
                <c:pt idx="190">
                  <c:v>-2.1940966207676382E-3</c:v>
                </c:pt>
                <c:pt idx="191">
                  <c:v>-1.8436552478520163E-3</c:v>
                </c:pt>
                <c:pt idx="192">
                  <c:v>-1.5353065723684445E-3</c:v>
                </c:pt>
                <c:pt idx="193">
                  <c:v>-1.8685069821642308E-3</c:v>
                </c:pt>
                <c:pt idx="194">
                  <c:v>-2.1128818782853998E-3</c:v>
                </c:pt>
                <c:pt idx="195">
                  <c:v>-2.2181656012674189E-3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395-4477-B5BE-528BA7726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12192"/>
        <c:axId val="157113728"/>
      </c:scatterChart>
      <c:valAx>
        <c:axId val="157112192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113728"/>
        <c:crosses val="autoZero"/>
        <c:crossBetween val="midCat"/>
      </c:valAx>
      <c:valAx>
        <c:axId val="157113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112192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1492571206376982"/>
          <c:y val="0.125"/>
          <c:w val="0.12089573247788465"/>
          <c:h val="9.659090909090908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5083041485485955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'1_Alexa-488-IgG'!$B$1</c:f>
              <c:strCache>
                <c:ptCount val="1"/>
                <c:pt idx="0">
                  <c:v>antibody1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'1_Alexa-488-IgG'!$A$2:$A$252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'1_Alexa-488-IgG'!$B$2:$B$252</c:f>
              <c:numCache>
                <c:formatCode>General</c:formatCode>
                <c:ptCount val="251"/>
                <c:pt idx="0">
                  <c:v>1.2460800000000001</c:v>
                </c:pt>
                <c:pt idx="1">
                  <c:v>1.3047800000000001</c:v>
                </c:pt>
                <c:pt idx="2">
                  <c:v>1.30948</c:v>
                </c:pt>
                <c:pt idx="3">
                  <c:v>1.3106199999999999</c:v>
                </c:pt>
                <c:pt idx="4">
                  <c:v>1.3066199999999999</c:v>
                </c:pt>
                <c:pt idx="5">
                  <c:v>1.3007599999999999</c:v>
                </c:pt>
                <c:pt idx="6">
                  <c:v>1.30145</c:v>
                </c:pt>
                <c:pt idx="7">
                  <c:v>1.29396</c:v>
                </c:pt>
                <c:pt idx="8">
                  <c:v>1.3002400000000001</c:v>
                </c:pt>
                <c:pt idx="9">
                  <c:v>1.30213</c:v>
                </c:pt>
                <c:pt idx="10">
                  <c:v>1.3018400000000001</c:v>
                </c:pt>
                <c:pt idx="11">
                  <c:v>1.2940400000000001</c:v>
                </c:pt>
                <c:pt idx="12">
                  <c:v>1.29236</c:v>
                </c:pt>
                <c:pt idx="13">
                  <c:v>1.29857</c:v>
                </c:pt>
                <c:pt idx="14">
                  <c:v>1.29081</c:v>
                </c:pt>
                <c:pt idx="15">
                  <c:v>1.2898499999999999</c:v>
                </c:pt>
                <c:pt idx="16">
                  <c:v>1.3057000000000001</c:v>
                </c:pt>
                <c:pt idx="17">
                  <c:v>1.2821499999999999</c:v>
                </c:pt>
                <c:pt idx="18">
                  <c:v>1.2886899999999999</c:v>
                </c:pt>
                <c:pt idx="19">
                  <c:v>1.29047</c:v>
                </c:pt>
                <c:pt idx="20">
                  <c:v>1.2945199999999999</c:v>
                </c:pt>
                <c:pt idx="21">
                  <c:v>1.28582</c:v>
                </c:pt>
                <c:pt idx="22">
                  <c:v>1.29728</c:v>
                </c:pt>
                <c:pt idx="23">
                  <c:v>1.2944</c:v>
                </c:pt>
                <c:pt idx="24">
                  <c:v>1.2915399999999999</c:v>
                </c:pt>
                <c:pt idx="25">
                  <c:v>1.29053</c:v>
                </c:pt>
                <c:pt idx="26">
                  <c:v>1.2883899999999999</c:v>
                </c:pt>
                <c:pt idx="27">
                  <c:v>1.2898799999999999</c:v>
                </c:pt>
                <c:pt idx="28">
                  <c:v>1.28976</c:v>
                </c:pt>
                <c:pt idx="29">
                  <c:v>1.2843899999999999</c:v>
                </c:pt>
                <c:pt idx="30">
                  <c:v>1.29156</c:v>
                </c:pt>
                <c:pt idx="31">
                  <c:v>1.28746</c:v>
                </c:pt>
                <c:pt idx="32">
                  <c:v>1.2807900000000001</c:v>
                </c:pt>
                <c:pt idx="33">
                  <c:v>1.2841</c:v>
                </c:pt>
                <c:pt idx="34">
                  <c:v>1.28145</c:v>
                </c:pt>
                <c:pt idx="35">
                  <c:v>1.2881</c:v>
                </c:pt>
                <c:pt idx="36">
                  <c:v>1.2792600000000001</c:v>
                </c:pt>
                <c:pt idx="37">
                  <c:v>1.2808900000000001</c:v>
                </c:pt>
                <c:pt idx="38">
                  <c:v>1.2785599999999999</c:v>
                </c:pt>
                <c:pt idx="39">
                  <c:v>1.27759</c:v>
                </c:pt>
                <c:pt idx="40">
                  <c:v>1.2786</c:v>
                </c:pt>
                <c:pt idx="41">
                  <c:v>1.28071</c:v>
                </c:pt>
                <c:pt idx="42">
                  <c:v>1.28078</c:v>
                </c:pt>
                <c:pt idx="43">
                  <c:v>1.27888</c:v>
                </c:pt>
                <c:pt idx="44">
                  <c:v>1.2818700000000001</c:v>
                </c:pt>
                <c:pt idx="45">
                  <c:v>1.27911</c:v>
                </c:pt>
                <c:pt idx="46">
                  <c:v>1.27854</c:v>
                </c:pt>
                <c:pt idx="47">
                  <c:v>1.27861</c:v>
                </c:pt>
                <c:pt idx="48">
                  <c:v>1.27712</c:v>
                </c:pt>
                <c:pt idx="49">
                  <c:v>1.27891</c:v>
                </c:pt>
                <c:pt idx="50">
                  <c:v>1.27593</c:v>
                </c:pt>
                <c:pt idx="51">
                  <c:v>1.27671</c:v>
                </c:pt>
                <c:pt idx="52">
                  <c:v>1.2764899999999999</c:v>
                </c:pt>
                <c:pt idx="53">
                  <c:v>1.27427</c:v>
                </c:pt>
                <c:pt idx="54">
                  <c:v>1.27152</c:v>
                </c:pt>
                <c:pt idx="55">
                  <c:v>1.2743800000000001</c:v>
                </c:pt>
                <c:pt idx="56">
                  <c:v>1.27406</c:v>
                </c:pt>
                <c:pt idx="57">
                  <c:v>1.2732699999999999</c:v>
                </c:pt>
                <c:pt idx="58">
                  <c:v>1.2713699999999999</c:v>
                </c:pt>
                <c:pt idx="59">
                  <c:v>1.27203</c:v>
                </c:pt>
                <c:pt idx="60">
                  <c:v>1.2687900000000001</c:v>
                </c:pt>
                <c:pt idx="61">
                  <c:v>1.2686200000000001</c:v>
                </c:pt>
                <c:pt idx="62">
                  <c:v>1.2706299999999999</c:v>
                </c:pt>
                <c:pt idx="63">
                  <c:v>1.2701899999999999</c:v>
                </c:pt>
                <c:pt idx="64">
                  <c:v>1.27007</c:v>
                </c:pt>
                <c:pt idx="65">
                  <c:v>1.26705</c:v>
                </c:pt>
                <c:pt idx="66">
                  <c:v>1.2648200000000001</c:v>
                </c:pt>
                <c:pt idx="67">
                  <c:v>1.26471</c:v>
                </c:pt>
                <c:pt idx="68">
                  <c:v>1.2662500000000001</c:v>
                </c:pt>
                <c:pt idx="69">
                  <c:v>1.2640899999999999</c:v>
                </c:pt>
                <c:pt idx="70">
                  <c:v>1.2642199999999999</c:v>
                </c:pt>
                <c:pt idx="71">
                  <c:v>1.2648699999999999</c:v>
                </c:pt>
                <c:pt idx="72">
                  <c:v>1.26288</c:v>
                </c:pt>
                <c:pt idx="73">
                  <c:v>1.26281</c:v>
                </c:pt>
                <c:pt idx="74">
                  <c:v>1.26217</c:v>
                </c:pt>
                <c:pt idx="75">
                  <c:v>1.2611300000000001</c:v>
                </c:pt>
                <c:pt idx="76">
                  <c:v>1.26102</c:v>
                </c:pt>
                <c:pt idx="77">
                  <c:v>1.2604200000000001</c:v>
                </c:pt>
                <c:pt idx="78">
                  <c:v>1.25851</c:v>
                </c:pt>
                <c:pt idx="79">
                  <c:v>1.25844</c:v>
                </c:pt>
                <c:pt idx="80">
                  <c:v>1.2583299999999999</c:v>
                </c:pt>
                <c:pt idx="81">
                  <c:v>1.2566200000000001</c:v>
                </c:pt>
                <c:pt idx="82">
                  <c:v>1.2562500000000001</c:v>
                </c:pt>
                <c:pt idx="83">
                  <c:v>1.25552</c:v>
                </c:pt>
                <c:pt idx="84">
                  <c:v>1.2538199999999999</c:v>
                </c:pt>
                <c:pt idx="85">
                  <c:v>1.2531699999999999</c:v>
                </c:pt>
                <c:pt idx="86">
                  <c:v>1.25308</c:v>
                </c:pt>
                <c:pt idx="87">
                  <c:v>1.2522899999999999</c:v>
                </c:pt>
                <c:pt idx="88">
                  <c:v>1.2505500000000001</c:v>
                </c:pt>
                <c:pt idx="89">
                  <c:v>1.2493799999999999</c:v>
                </c:pt>
                <c:pt idx="90">
                  <c:v>1.2477</c:v>
                </c:pt>
                <c:pt idx="91">
                  <c:v>1.24603</c:v>
                </c:pt>
                <c:pt idx="92">
                  <c:v>1.2450600000000001</c:v>
                </c:pt>
                <c:pt idx="93">
                  <c:v>1.24352</c:v>
                </c:pt>
                <c:pt idx="94">
                  <c:v>1.2429399999999999</c:v>
                </c:pt>
                <c:pt idx="95">
                  <c:v>1.24129</c:v>
                </c:pt>
                <c:pt idx="96">
                  <c:v>1.23946</c:v>
                </c:pt>
                <c:pt idx="97">
                  <c:v>1.2368600000000001</c:v>
                </c:pt>
                <c:pt idx="98">
                  <c:v>1.23491</c:v>
                </c:pt>
                <c:pt idx="99">
                  <c:v>1.2326699999999999</c:v>
                </c:pt>
                <c:pt idx="100">
                  <c:v>1.23102</c:v>
                </c:pt>
                <c:pt idx="101">
                  <c:v>1.22905</c:v>
                </c:pt>
                <c:pt idx="102">
                  <c:v>1.2274099999999999</c:v>
                </c:pt>
                <c:pt idx="103">
                  <c:v>1.2254499999999999</c:v>
                </c:pt>
                <c:pt idx="104">
                  <c:v>1.22184</c:v>
                </c:pt>
                <c:pt idx="105">
                  <c:v>1.2188000000000001</c:v>
                </c:pt>
                <c:pt idx="106">
                  <c:v>1.2159</c:v>
                </c:pt>
                <c:pt idx="107">
                  <c:v>1.2129300000000001</c:v>
                </c:pt>
                <c:pt idx="108">
                  <c:v>1.20997</c:v>
                </c:pt>
                <c:pt idx="109">
                  <c:v>1.2072499999999999</c:v>
                </c:pt>
                <c:pt idx="110">
                  <c:v>1.2048300000000001</c:v>
                </c:pt>
                <c:pt idx="111">
                  <c:v>1.2022699999999999</c:v>
                </c:pt>
                <c:pt idx="112">
                  <c:v>1.19764</c:v>
                </c:pt>
                <c:pt idx="113">
                  <c:v>1.1933400000000001</c:v>
                </c:pt>
                <c:pt idx="114">
                  <c:v>1.18963</c:v>
                </c:pt>
                <c:pt idx="115">
                  <c:v>1.18557</c:v>
                </c:pt>
                <c:pt idx="116">
                  <c:v>1.18224</c:v>
                </c:pt>
                <c:pt idx="117">
                  <c:v>1.1787000000000001</c:v>
                </c:pt>
                <c:pt idx="118">
                  <c:v>1.1754800000000001</c:v>
                </c:pt>
                <c:pt idx="119">
                  <c:v>1.17248</c:v>
                </c:pt>
                <c:pt idx="120">
                  <c:v>1.1666799999999999</c:v>
                </c:pt>
                <c:pt idx="121">
                  <c:v>1.16137</c:v>
                </c:pt>
                <c:pt idx="122">
                  <c:v>1.1563000000000001</c:v>
                </c:pt>
                <c:pt idx="123">
                  <c:v>1.1519999999999999</c:v>
                </c:pt>
                <c:pt idx="124">
                  <c:v>1.1477299999999999</c:v>
                </c:pt>
                <c:pt idx="125">
                  <c:v>1.1438900000000001</c:v>
                </c:pt>
                <c:pt idx="126">
                  <c:v>1.1402300000000001</c:v>
                </c:pt>
                <c:pt idx="127">
                  <c:v>1.13676</c:v>
                </c:pt>
                <c:pt idx="128">
                  <c:v>1.1301699999999999</c:v>
                </c:pt>
                <c:pt idx="129">
                  <c:v>1.12419</c:v>
                </c:pt>
                <c:pt idx="130">
                  <c:v>1.1187800000000001</c:v>
                </c:pt>
                <c:pt idx="131">
                  <c:v>1.11374</c:v>
                </c:pt>
                <c:pt idx="132">
                  <c:v>1.1091599999999999</c:v>
                </c:pt>
                <c:pt idx="133">
                  <c:v>1.1052599999999999</c:v>
                </c:pt>
                <c:pt idx="134">
                  <c:v>1.10162</c:v>
                </c:pt>
                <c:pt idx="135">
                  <c:v>1.0979300000000001</c:v>
                </c:pt>
                <c:pt idx="136">
                  <c:v>1.0912900000000001</c:v>
                </c:pt>
                <c:pt idx="137">
                  <c:v>1.08579</c:v>
                </c:pt>
                <c:pt idx="138">
                  <c:v>1.0808199999999999</c:v>
                </c:pt>
                <c:pt idx="139">
                  <c:v>1.0762400000000001</c:v>
                </c:pt>
                <c:pt idx="140">
                  <c:v>1.0719099999999999</c:v>
                </c:pt>
                <c:pt idx="141">
                  <c:v>1.0680799999999999</c:v>
                </c:pt>
                <c:pt idx="142">
                  <c:v>1.06515</c:v>
                </c:pt>
                <c:pt idx="143">
                  <c:v>1.0621499999999999</c:v>
                </c:pt>
                <c:pt idx="144">
                  <c:v>1.0569500000000001</c:v>
                </c:pt>
                <c:pt idx="145">
                  <c:v>1.0527</c:v>
                </c:pt>
                <c:pt idx="146">
                  <c:v>1.04898</c:v>
                </c:pt>
                <c:pt idx="147">
                  <c:v>1.04566</c:v>
                </c:pt>
                <c:pt idx="148">
                  <c:v>1.0426</c:v>
                </c:pt>
                <c:pt idx="149">
                  <c:v>1.0400100000000001</c:v>
                </c:pt>
                <c:pt idx="150">
                  <c:v>1.03728</c:v>
                </c:pt>
                <c:pt idx="151">
                  <c:v>1.03488</c:v>
                </c:pt>
                <c:pt idx="152">
                  <c:v>1.0313099999999999</c:v>
                </c:pt>
                <c:pt idx="153">
                  <c:v>1.0282100000000001</c:v>
                </c:pt>
                <c:pt idx="154">
                  <c:v>1.0258499999999999</c:v>
                </c:pt>
                <c:pt idx="155">
                  <c:v>1.0239199999999999</c:v>
                </c:pt>
                <c:pt idx="156">
                  <c:v>1.0220899999999999</c:v>
                </c:pt>
                <c:pt idx="157">
                  <c:v>1.0205</c:v>
                </c:pt>
                <c:pt idx="158">
                  <c:v>1.0188999999999999</c:v>
                </c:pt>
                <c:pt idx="159">
                  <c:v>1.0173399999999999</c:v>
                </c:pt>
                <c:pt idx="160">
                  <c:v>1.01488</c:v>
                </c:pt>
                <c:pt idx="161">
                  <c:v>1.0125999999999999</c:v>
                </c:pt>
                <c:pt idx="162">
                  <c:v>1.01101</c:v>
                </c:pt>
                <c:pt idx="163">
                  <c:v>1.01139</c:v>
                </c:pt>
                <c:pt idx="164">
                  <c:v>1.0112300000000001</c:v>
                </c:pt>
                <c:pt idx="165">
                  <c:v>1.01064</c:v>
                </c:pt>
                <c:pt idx="166">
                  <c:v>1.0106900000000001</c:v>
                </c:pt>
                <c:pt idx="167">
                  <c:v>1.0105900000000001</c:v>
                </c:pt>
                <c:pt idx="168">
                  <c:v>1.0093099999999999</c:v>
                </c:pt>
                <c:pt idx="169">
                  <c:v>1.0092000000000001</c:v>
                </c:pt>
                <c:pt idx="170">
                  <c:v>1.00807</c:v>
                </c:pt>
                <c:pt idx="171">
                  <c:v>1.0069399999999999</c:v>
                </c:pt>
                <c:pt idx="172">
                  <c:v>1.00708</c:v>
                </c:pt>
                <c:pt idx="173">
                  <c:v>1.00671</c:v>
                </c:pt>
                <c:pt idx="174">
                  <c:v>1.00746</c:v>
                </c:pt>
                <c:pt idx="175">
                  <c:v>1.00702</c:v>
                </c:pt>
                <c:pt idx="176">
                  <c:v>1.0043</c:v>
                </c:pt>
                <c:pt idx="177">
                  <c:v>1.0039800000000001</c:v>
                </c:pt>
                <c:pt idx="178">
                  <c:v>1.0042</c:v>
                </c:pt>
                <c:pt idx="179">
                  <c:v>1.00525</c:v>
                </c:pt>
                <c:pt idx="180">
                  <c:v>1.00502</c:v>
                </c:pt>
                <c:pt idx="181">
                  <c:v>1.0058400000000001</c:v>
                </c:pt>
                <c:pt idx="182">
                  <c:v>1.00467</c:v>
                </c:pt>
                <c:pt idx="183">
                  <c:v>1.0052099999999999</c:v>
                </c:pt>
                <c:pt idx="184">
                  <c:v>1.00505</c:v>
                </c:pt>
                <c:pt idx="185">
                  <c:v>1.0033000000000001</c:v>
                </c:pt>
                <c:pt idx="186">
                  <c:v>1.00322</c:v>
                </c:pt>
                <c:pt idx="187">
                  <c:v>1.0016099999999999</c:v>
                </c:pt>
                <c:pt idx="188">
                  <c:v>1.00075</c:v>
                </c:pt>
                <c:pt idx="189">
                  <c:v>1.0008900000000001</c:v>
                </c:pt>
                <c:pt idx="190">
                  <c:v>1.00248</c:v>
                </c:pt>
                <c:pt idx="191">
                  <c:v>1.0025900000000001</c:v>
                </c:pt>
                <c:pt idx="192">
                  <c:v>1.00231</c:v>
                </c:pt>
                <c:pt idx="193">
                  <c:v>1.0037</c:v>
                </c:pt>
                <c:pt idx="194">
                  <c:v>1.0030600000000001</c:v>
                </c:pt>
                <c:pt idx="195">
                  <c:v>1.0027699999999999</c:v>
                </c:pt>
                <c:pt idx="196">
                  <c:v>1.00302</c:v>
                </c:pt>
                <c:pt idx="197">
                  <c:v>1.00241</c:v>
                </c:pt>
                <c:pt idx="198">
                  <c:v>1.0024999999999999</c:v>
                </c:pt>
                <c:pt idx="199">
                  <c:v>1.0024900000000001</c:v>
                </c:pt>
                <c:pt idx="200">
                  <c:v>1.00258</c:v>
                </c:pt>
                <c:pt idx="201">
                  <c:v>1.0025900000000001</c:v>
                </c:pt>
                <c:pt idx="202">
                  <c:v>1.00227</c:v>
                </c:pt>
                <c:pt idx="203">
                  <c:v>1.0019100000000001</c:v>
                </c:pt>
                <c:pt idx="204">
                  <c:v>1.00213</c:v>
                </c:pt>
                <c:pt idx="205">
                  <c:v>1.0023</c:v>
                </c:pt>
                <c:pt idx="206">
                  <c:v>1.0033799999999999</c:v>
                </c:pt>
                <c:pt idx="207">
                  <c:v>1.0040199999999999</c:v>
                </c:pt>
                <c:pt idx="208">
                  <c:v>1.00278</c:v>
                </c:pt>
                <c:pt idx="209">
                  <c:v>1.0025299999999999</c:v>
                </c:pt>
                <c:pt idx="210">
                  <c:v>1.00214</c:v>
                </c:pt>
                <c:pt idx="211">
                  <c:v>1.0005200000000001</c:v>
                </c:pt>
                <c:pt idx="212">
                  <c:v>1.00125</c:v>
                </c:pt>
                <c:pt idx="213">
                  <c:v>1.00119</c:v>
                </c:pt>
                <c:pt idx="214">
                  <c:v>1.00058</c:v>
                </c:pt>
                <c:pt idx="215">
                  <c:v>1.00088</c:v>
                </c:pt>
                <c:pt idx="216">
                  <c:v>1.0011099999999999</c:v>
                </c:pt>
                <c:pt idx="217">
                  <c:v>1.0006999999999999</c:v>
                </c:pt>
                <c:pt idx="218">
                  <c:v>1.0005200000000001</c:v>
                </c:pt>
                <c:pt idx="219">
                  <c:v>1.00099</c:v>
                </c:pt>
                <c:pt idx="220">
                  <c:v>1.00014</c:v>
                </c:pt>
                <c:pt idx="221">
                  <c:v>1.0012000000000001</c:v>
                </c:pt>
                <c:pt idx="222">
                  <c:v>1.00027</c:v>
                </c:pt>
                <c:pt idx="223">
                  <c:v>1.00129</c:v>
                </c:pt>
                <c:pt idx="224">
                  <c:v>1.0027900000000001</c:v>
                </c:pt>
                <c:pt idx="225">
                  <c:v>1.0025500000000001</c:v>
                </c:pt>
                <c:pt idx="226">
                  <c:v>1.0029699999999999</c:v>
                </c:pt>
                <c:pt idx="227">
                  <c:v>1.00305</c:v>
                </c:pt>
                <c:pt idx="228">
                  <c:v>1.00406</c:v>
                </c:pt>
                <c:pt idx="229">
                  <c:v>1.00329</c:v>
                </c:pt>
                <c:pt idx="230">
                  <c:v>1.00414</c:v>
                </c:pt>
                <c:pt idx="231">
                  <c:v>1.00478</c:v>
                </c:pt>
                <c:pt idx="232">
                  <c:v>1.00454</c:v>
                </c:pt>
                <c:pt idx="233">
                  <c:v>1.00397</c:v>
                </c:pt>
                <c:pt idx="234">
                  <c:v>1.00366</c:v>
                </c:pt>
                <c:pt idx="235">
                  <c:v>1.0033399999999999</c:v>
                </c:pt>
                <c:pt idx="236">
                  <c:v>1.0037700000000001</c:v>
                </c:pt>
                <c:pt idx="237">
                  <c:v>1.0043500000000001</c:v>
                </c:pt>
                <c:pt idx="238">
                  <c:v>1.0051600000000001</c:v>
                </c:pt>
                <c:pt idx="239">
                  <c:v>1.00485</c:v>
                </c:pt>
                <c:pt idx="240">
                  <c:v>1.0021800000000001</c:v>
                </c:pt>
                <c:pt idx="241">
                  <c:v>1.00281</c:v>
                </c:pt>
                <c:pt idx="242">
                  <c:v>1.00404</c:v>
                </c:pt>
                <c:pt idx="243">
                  <c:v>1.00146</c:v>
                </c:pt>
                <c:pt idx="244">
                  <c:v>1.0037100000000001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8F0-4A0C-BAB0-6E23D90DCD73}"/>
            </c:ext>
          </c:extLst>
        </c:ser>
        <c:ser>
          <c:idx val="1"/>
          <c:order val="1"/>
          <c:tx>
            <c:strRef>
              <c:f>'1_Alexa-488-IgG'!$E$1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'1_Alexa-488-IgG'!$A$3:$A$252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'1_Alexa-488-IgG'!$E$3:$E$200</c:f>
              <c:numCache>
                <c:formatCode>General</c:formatCode>
                <c:ptCount val="198"/>
                <c:pt idx="0">
                  <c:v>1.3002406522474224</c:v>
                </c:pt>
                <c:pt idx="1">
                  <c:v>1.299965554306016</c:v>
                </c:pt>
                <c:pt idx="2">
                  <c:v>1.2996931452831646</c:v>
                </c:pt>
                <c:pt idx="3">
                  <c:v>1.2994233986145272</c:v>
                </c:pt>
                <c:pt idx="4">
                  <c:v>1.2991562879982119</c:v>
                </c:pt>
                <c:pt idx="5">
                  <c:v>1.2988917873921846</c:v>
                </c:pt>
                <c:pt idx="6">
                  <c:v>1.2986298710116992</c:v>
                </c:pt>
                <c:pt idx="7">
                  <c:v>1.2983705133267582</c:v>
                </c:pt>
                <c:pt idx="8">
                  <c:v>1.2981136890595943</c:v>
                </c:pt>
                <c:pt idx="9">
                  <c:v>1.2978593731821786</c:v>
                </c:pt>
                <c:pt idx="10">
                  <c:v>1.2976075409137535</c:v>
                </c:pt>
                <c:pt idx="11">
                  <c:v>1.2973581677183903</c:v>
                </c:pt>
                <c:pt idx="12">
                  <c:v>1.2971112293025684</c:v>
                </c:pt>
                <c:pt idx="13">
                  <c:v>1.2968667016127831</c:v>
                </c:pt>
                <c:pt idx="14">
                  <c:v>1.2966245608331717</c:v>
                </c:pt>
                <c:pt idx="15">
                  <c:v>1.2961473459151744</c:v>
                </c:pt>
                <c:pt idx="16">
                  <c:v>1.2956793986859014</c:v>
                </c:pt>
                <c:pt idx="17">
                  <c:v>1.2952205369370979</c:v>
                </c:pt>
                <c:pt idx="18">
                  <c:v>1.2947705820430753</c:v>
                </c:pt>
                <c:pt idx="19">
                  <c:v>1.294329358890272</c:v>
                </c:pt>
                <c:pt idx="20">
                  <c:v>1.2938966958081977</c:v>
                </c:pt>
                <c:pt idx="21">
                  <c:v>1.2934724245017359</c:v>
                </c:pt>
                <c:pt idx="22">
                  <c:v>1.2930563799847783</c:v>
                </c:pt>
                <c:pt idx="23">
                  <c:v>1.2922483275308856</c:v>
                </c:pt>
                <c:pt idx="24">
                  <c:v>1.2914712822972407</c:v>
                </c:pt>
                <c:pt idx="25">
                  <c:v>1.2907240370455935</c:v>
                </c:pt>
                <c:pt idx="26">
                  <c:v>1.2900054315442602</c:v>
                </c:pt>
                <c:pt idx="27">
                  <c:v>1.2893143507378144</c:v>
                </c:pt>
                <c:pt idx="28">
                  <c:v>1.2886497229880454</c:v>
                </c:pt>
                <c:pt idx="29">
                  <c:v>1.2880105183834099</c:v>
                </c:pt>
                <c:pt idx="30">
                  <c:v>1.2873957471143074</c:v>
                </c:pt>
                <c:pt idx="31">
                  <c:v>1.2862357365460473</c:v>
                </c:pt>
                <c:pt idx="32">
                  <c:v>1.2851625170109271</c:v>
                </c:pt>
                <c:pt idx="33">
                  <c:v>1.2841694620526967</c:v>
                </c:pt>
                <c:pt idx="34">
                  <c:v>1.283250451200791</c:v>
                </c:pt>
                <c:pt idx="35">
                  <c:v>1.2823998313340301</c:v>
                </c:pt>
                <c:pt idx="36">
                  <c:v>1.2816123809945308</c:v>
                </c:pt>
                <c:pt idx="37">
                  <c:v>1.2808832774265524</c:v>
                </c:pt>
                <c:pt idx="38">
                  <c:v>1.2802080661322084</c:v>
                </c:pt>
                <c:pt idx="39">
                  <c:v>1.2790031770916563</c:v>
                </c:pt>
                <c:pt idx="40">
                  <c:v>1.2779684268818339</c:v>
                </c:pt>
                <c:pt idx="41">
                  <c:v>1.2770788303638911</c:v>
                </c:pt>
                <c:pt idx="42">
                  <c:v>1.2763130723678584</c:v>
                </c:pt>
                <c:pt idx="43">
                  <c:v>1.2756529686243674</c:v>
                </c:pt>
                <c:pt idx="44">
                  <c:v>1.275083005878143</c:v>
                </c:pt>
                <c:pt idx="45">
                  <c:v>1.2745899495525441</c:v>
                </c:pt>
                <c:pt idx="46">
                  <c:v>1.2741625090428241</c:v>
                </c:pt>
                <c:pt idx="47">
                  <c:v>1.2734673615965169</c:v>
                </c:pt>
                <c:pt idx="48">
                  <c:v>1.2729362676869276</c:v>
                </c:pt>
                <c:pt idx="49">
                  <c:v>1.2725246159172325</c:v>
                </c:pt>
                <c:pt idx="50">
                  <c:v>1.2721999378866689</c:v>
                </c:pt>
                <c:pt idx="51">
                  <c:v>1.271938602903067</c:v>
                </c:pt>
                <c:pt idx="52">
                  <c:v>1.2717234123849219</c:v>
                </c:pt>
                <c:pt idx="53">
                  <c:v>1.2715418490601422</c:v>
                </c:pt>
                <c:pt idx="54">
                  <c:v>1.2713848027277379</c:v>
                </c:pt>
                <c:pt idx="55">
                  <c:v>1.2711195436591538</c:v>
                </c:pt>
                <c:pt idx="56">
                  <c:v>1.2708934338648024</c:v>
                </c:pt>
                <c:pt idx="57">
                  <c:v>1.270688355730498</c:v>
                </c:pt>
                <c:pt idx="58">
                  <c:v>1.2704947111387264</c:v>
                </c:pt>
                <c:pt idx="59">
                  <c:v>1.2703074147312892</c:v>
                </c:pt>
                <c:pt idx="60">
                  <c:v>1.270123771551698</c:v>
                </c:pt>
                <c:pt idx="61">
                  <c:v>1.2699423528382199</c:v>
                </c:pt>
                <c:pt idx="62">
                  <c:v>1.269762400534534</c:v>
                </c:pt>
                <c:pt idx="63">
                  <c:v>1.2694054722308685</c:v>
                </c:pt>
                <c:pt idx="64">
                  <c:v>1.2690515333387582</c:v>
                </c:pt>
                <c:pt idx="65">
                  <c:v>1.2687001611312583</c:v>
                </c:pt>
                <c:pt idx="66">
                  <c:v>1.2683512221706703</c:v>
                </c:pt>
                <c:pt idx="67">
                  <c:v>1.268004664317965</c:v>
                </c:pt>
                <c:pt idx="68">
                  <c:v>1.2676604583737818</c:v>
                </c:pt>
                <c:pt idx="69">
                  <c:v>1.2673185817029631</c:v>
                </c:pt>
                <c:pt idx="70">
                  <c:v>1.2669790136388099</c:v>
                </c:pt>
                <c:pt idx="71">
                  <c:v>1.2663067236898438</c:v>
                </c:pt>
                <c:pt idx="72">
                  <c:v>1.2656434318470688</c:v>
                </c:pt>
                <c:pt idx="73">
                  <c:v>1.2649889845389364</c:v>
                </c:pt>
                <c:pt idx="74">
                  <c:v>1.2643432309048275</c:v>
                </c:pt>
                <c:pt idx="75">
                  <c:v>1.2637060227205192</c:v>
                </c:pt>
                <c:pt idx="76">
                  <c:v>1.2630772143498188</c:v>
                </c:pt>
                <c:pt idx="77">
                  <c:v>1.2624566626990097</c:v>
                </c:pt>
                <c:pt idx="78">
                  <c:v>1.2618442271722519</c:v>
                </c:pt>
                <c:pt idx="79">
                  <c:v>1.2606431543348482</c:v>
                </c:pt>
                <c:pt idx="80">
                  <c:v>1.2594729193829954</c:v>
                </c:pt>
                <c:pt idx="81">
                  <c:v>1.2583324831035791</c:v>
                </c:pt>
                <c:pt idx="82">
                  <c:v>1.2572208422305529</c:v>
                </c:pt>
                <c:pt idx="83">
                  <c:v>1.2561370281956159</c:v>
                </c:pt>
                <c:pt idx="84">
                  <c:v>1.2550801059224177</c:v>
                </c:pt>
                <c:pt idx="85">
                  <c:v>1.2540491726627736</c:v>
                </c:pt>
                <c:pt idx="86">
                  <c:v>1.2530433568734225</c:v>
                </c:pt>
                <c:pt idx="87">
                  <c:v>1.2511037410902377</c:v>
                </c:pt>
                <c:pt idx="88">
                  <c:v>1.2492548700623554</c:v>
                </c:pt>
                <c:pt idx="89">
                  <c:v>1.2474907889875904</c:v>
                </c:pt>
                <c:pt idx="90">
                  <c:v>1.2458059471719529</c:v>
                </c:pt>
                <c:pt idx="91">
                  <c:v>1.2441951704547649</c:v>
                </c:pt>
                <c:pt idx="92">
                  <c:v>1.2426536355201376</c:v>
                </c:pt>
                <c:pt idx="93">
                  <c:v>1.2411768459654828</c:v>
                </c:pt>
                <c:pt idx="94">
                  <c:v>1.2397606100066083</c:v>
                </c:pt>
                <c:pt idx="95">
                  <c:v>1.2370944316284402</c:v>
                </c:pt>
                <c:pt idx="96">
                  <c:v>1.2346269039287125</c:v>
                </c:pt>
                <c:pt idx="97">
                  <c:v>1.2323335144168062</c:v>
                </c:pt>
                <c:pt idx="98">
                  <c:v>1.2301929497180777</c:v>
                </c:pt>
                <c:pt idx="99">
                  <c:v>1.2281866747011723</c:v>
                </c:pt>
                <c:pt idx="100">
                  <c:v>1.2262985671237185</c:v>
                </c:pt>
                <c:pt idx="101">
                  <c:v>1.2245146004579603</c:v>
                </c:pt>
                <c:pt idx="102">
                  <c:v>1.2228225685298351</c:v>
                </c:pt>
                <c:pt idx="103">
                  <c:v>1.219673183030348</c:v>
                </c:pt>
                <c:pt idx="104">
                  <c:v>1.2167808383313046</c:v>
                </c:pt>
                <c:pt idx="105">
                  <c:v>1.2140927189017605</c:v>
                </c:pt>
                <c:pt idx="106">
                  <c:v>1.2115686624889128</c:v>
                </c:pt>
                <c:pt idx="107">
                  <c:v>1.2091780652415771</c:v>
                </c:pt>
                <c:pt idx="108">
                  <c:v>1.2068975470675829</c:v>
                </c:pt>
                <c:pt idx="109">
                  <c:v>1.20470919011366</c:v>
                </c:pt>
                <c:pt idx="110">
                  <c:v>1.2025992093834317</c:v>
                </c:pt>
                <c:pt idx="111">
                  <c:v>1.1985741257546911</c:v>
                </c:pt>
                <c:pt idx="112">
                  <c:v>1.1947622177743529</c:v>
                </c:pt>
                <c:pt idx="113">
                  <c:v>1.1911261339347325</c:v>
                </c:pt>
                <c:pt idx="114">
                  <c:v>1.1876417022183885</c:v>
                </c:pt>
                <c:pt idx="115">
                  <c:v>1.1842924683957197</c:v>
                </c:pt>
                <c:pt idx="116">
                  <c:v>1.1810665640844284</c:v>
                </c:pt>
                <c:pt idx="117">
                  <c:v>1.1779549045538391</c:v>
                </c:pt>
                <c:pt idx="118">
                  <c:v>1.174950146388789</c:v>
                </c:pt>
                <c:pt idx="119">
                  <c:v>1.1692372716864248</c:v>
                </c:pt>
                <c:pt idx="120">
                  <c:v>1.1638863681488782</c:v>
                </c:pt>
                <c:pt idx="121">
                  <c:v>1.1588631354411918</c:v>
                </c:pt>
                <c:pt idx="122">
                  <c:v>1.1541380630931373</c:v>
                </c:pt>
                <c:pt idx="123">
                  <c:v>1.1496852775238526</c:v>
                </c:pt>
                <c:pt idx="124">
                  <c:v>1.1454818800360669</c:v>
                </c:pt>
                <c:pt idx="125">
                  <c:v>1.1415074912765257</c:v>
                </c:pt>
                <c:pt idx="126">
                  <c:v>1.137743900671137</c:v>
                </c:pt>
                <c:pt idx="127">
                  <c:v>1.130785449276567</c:v>
                </c:pt>
                <c:pt idx="128">
                  <c:v>1.1244944561770702</c:v>
                </c:pt>
                <c:pt idx="129">
                  <c:v>1.1187793533206269</c:v>
                </c:pt>
                <c:pt idx="130">
                  <c:v>1.1135645894311677</c:v>
                </c:pt>
                <c:pt idx="131">
                  <c:v>1.1087872745383178</c:v>
                </c:pt>
                <c:pt idx="132">
                  <c:v>1.1043946342984794</c:v>
                </c:pt>
                <c:pt idx="133">
                  <c:v>1.1003420547907798</c:v>
                </c:pt>
                <c:pt idx="134">
                  <c:v>1.0965915639317942</c:v>
                </c:pt>
                <c:pt idx="135">
                  <c:v>1.0898712668512154</c:v>
                </c:pt>
                <c:pt idx="136">
                  <c:v>1.0840232632882538</c:v>
                </c:pt>
                <c:pt idx="137">
                  <c:v>1.0788883032809875</c:v>
                </c:pt>
                <c:pt idx="138">
                  <c:v>1.0743436743855215</c:v>
                </c:pt>
                <c:pt idx="139">
                  <c:v>1.0702932914480181</c:v>
                </c:pt>
                <c:pt idx="140">
                  <c:v>1.0666608459930569</c:v>
                </c:pt>
                <c:pt idx="141">
                  <c:v>1.0633849671200337</c:v>
                </c:pt>
                <c:pt idx="142">
                  <c:v>1.0604157369892684</c:v>
                </c:pt>
                <c:pt idx="143">
                  <c:v>1.0552401549307548</c:v>
                </c:pt>
                <c:pt idx="144">
                  <c:v>1.0508817198669034</c:v>
                </c:pt>
                <c:pt idx="145">
                  <c:v>1.047161649687292</c:v>
                </c:pt>
                <c:pt idx="146">
                  <c:v>1.0439497558904474</c:v>
                </c:pt>
                <c:pt idx="147">
                  <c:v>1.0411489846999602</c:v>
                </c:pt>
                <c:pt idx="148">
                  <c:v>1.0386855065834406</c:v>
                </c:pt>
                <c:pt idx="149">
                  <c:v>1.0365021620118977</c:v>
                </c:pt>
                <c:pt idx="150">
                  <c:v>1.0345540082624027</c:v>
                </c:pt>
                <c:pt idx="151">
                  <c:v>1.0312268952035437</c:v>
                </c:pt>
                <c:pt idx="152">
                  <c:v>1.0284914545719783</c:v>
                </c:pt>
                <c:pt idx="153">
                  <c:v>1.026203834689124</c:v>
                </c:pt>
                <c:pt idx="154">
                  <c:v>1.0242632699062404</c:v>
                </c:pt>
                <c:pt idx="155">
                  <c:v>1.0225970761865268</c:v>
                </c:pt>
                <c:pt idx="156">
                  <c:v>1.0211515084030987</c:v>
                </c:pt>
                <c:pt idx="157">
                  <c:v>1.0198859710571251</c:v>
                </c:pt>
                <c:pt idx="158">
                  <c:v>1.0187692301133626</c:v>
                </c:pt>
                <c:pt idx="159">
                  <c:v>1.0168894986253472</c:v>
                </c:pt>
                <c:pt idx="160">
                  <c:v>1.0153704561692363</c:v>
                </c:pt>
                <c:pt idx="161">
                  <c:v>1.0141188915966055</c:v>
                </c:pt>
                <c:pt idx="162">
                  <c:v>1.0130710497416657</c:v>
                </c:pt>
                <c:pt idx="163">
                  <c:v>1.012181859149369</c:v>
                </c:pt>
                <c:pt idx="164">
                  <c:v>1.0114185636111364</c:v>
                </c:pt>
                <c:pt idx="165">
                  <c:v>1.0107567913151003</c:v>
                </c:pt>
                <c:pt idx="166">
                  <c:v>1.0101780384972612</c:v>
                </c:pt>
                <c:pt idx="167">
                  <c:v>1.0092154787427527</c:v>
                </c:pt>
                <c:pt idx="168">
                  <c:v>1.0084489667418592</c:v>
                </c:pt>
                <c:pt idx="169">
                  <c:v>1.0078256571224105</c:v>
                </c:pt>
                <c:pt idx="170">
                  <c:v>1.0073099662998861</c:v>
                </c:pt>
                <c:pt idx="171">
                  <c:v>1.0068770804252358</c:v>
                </c:pt>
                <c:pt idx="172">
                  <c:v>1.0065091840674494</c:v>
                </c:pt>
                <c:pt idx="173">
                  <c:v>1.0061931670913127</c:v>
                </c:pt>
                <c:pt idx="174">
                  <c:v>1.005919175792513</c:v>
                </c:pt>
                <c:pt idx="175">
                  <c:v>1.0054687728126173</c:v>
                </c:pt>
                <c:pt idx="176">
                  <c:v>1.0051152392135585</c:v>
                </c:pt>
                <c:pt idx="177">
                  <c:v>1.0048314371235176</c:v>
                </c:pt>
                <c:pt idx="178">
                  <c:v>1.0045993501568651</c:v>
                </c:pt>
                <c:pt idx="179">
                  <c:v>1.0044065758571177</c:v>
                </c:pt>
                <c:pt idx="180">
                  <c:v>1.0042443148375004</c:v>
                </c:pt>
                <c:pt idx="181">
                  <c:v>1.004106162635569</c:v>
                </c:pt>
                <c:pt idx="182">
                  <c:v>1.0039873547234117</c:v>
                </c:pt>
                <c:pt idx="183">
                  <c:v>1.0037941493800802</c:v>
                </c:pt>
                <c:pt idx="184">
                  <c:v>1.0036444679755692</c:v>
                </c:pt>
                <c:pt idx="185">
                  <c:v>1.0035256722718977</c:v>
                </c:pt>
                <c:pt idx="186">
                  <c:v>1.0034294936662242</c:v>
                </c:pt>
                <c:pt idx="187">
                  <c:v>1.0033503143664562</c:v>
                </c:pt>
                <c:pt idx="188">
                  <c:v>1.0032841957142309</c:v>
                </c:pt>
                <c:pt idx="189">
                  <c:v>1.0032283018463362</c:v>
                </c:pt>
                <c:pt idx="190">
                  <c:v>1.0031805437728789</c:v>
                </c:pt>
                <c:pt idx="191">
                  <c:v>1.0031035261578207</c:v>
                </c:pt>
                <c:pt idx="192">
                  <c:v>1.0030444450103375</c:v>
                </c:pt>
                <c:pt idx="193">
                  <c:v>1.002997945673255</c:v>
                </c:pt>
                <c:pt idx="194">
                  <c:v>1.0029605686737106</c:v>
                </c:pt>
                <c:pt idx="195">
                  <c:v>1.0029299891995527</c:v>
                </c:pt>
                <c:pt idx="196">
                  <c:v>1.0029045929081324</c:v>
                </c:pt>
                <c:pt idx="197">
                  <c:v>1.002883227306679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8F0-4A0C-BAB0-6E23D90DC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59584"/>
        <c:axId val="157461120"/>
      </c:scatterChart>
      <c:valAx>
        <c:axId val="15745958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461120"/>
        <c:crosses val="autoZero"/>
        <c:crossBetween val="midCat"/>
      </c:valAx>
      <c:valAx>
        <c:axId val="157461120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459584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567164179104474"/>
          <c:y val="7.8091106290672452E-2"/>
          <c:w val="0.12089552238805967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277071336232225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'1_Alexa-488-IgG'!$F$1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'1_Alexa-488-IgG'!$A$3:$A$235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'1_Alexa-488-IgG'!$F$3:$F$200</c:f>
              <c:numCache>
                <c:formatCode>General</c:formatCode>
                <c:ptCount val="198"/>
                <c:pt idx="0">
                  <c:v>4.5393477525776937E-3</c:v>
                </c:pt>
                <c:pt idx="1">
                  <c:v>9.5144456939839639E-3</c:v>
                </c:pt>
                <c:pt idx="2">
                  <c:v>1.0926854716835299E-2</c:v>
                </c:pt>
                <c:pt idx="3">
                  <c:v>7.196601385472734E-3</c:v>
                </c:pt>
                <c:pt idx="4">
                  <c:v>1.6037120017879936E-3</c:v>
                </c:pt>
                <c:pt idx="5">
                  <c:v>2.5582126078154133E-3</c:v>
                </c:pt>
                <c:pt idx="6">
                  <c:v>-4.6698710116992448E-3</c:v>
                </c:pt>
                <c:pt idx="7">
                  <c:v>1.8694866732418269E-3</c:v>
                </c:pt>
                <c:pt idx="8">
                  <c:v>4.0163109404056652E-3</c:v>
                </c:pt>
                <c:pt idx="9">
                  <c:v>3.9806268178215198E-3</c:v>
                </c:pt>
                <c:pt idx="10">
                  <c:v>-3.567540913753442E-3</c:v>
                </c:pt>
                <c:pt idx="11">
                  <c:v>-4.998167718390345E-3</c:v>
                </c:pt>
                <c:pt idx="12">
                  <c:v>1.4587706974316106E-3</c:v>
                </c:pt>
                <c:pt idx="13">
                  <c:v>-6.0567016127830442E-3</c:v>
                </c:pt>
                <c:pt idx="14">
                  <c:v>-6.7745608331717388E-3</c:v>
                </c:pt>
                <c:pt idx="15">
                  <c:v>9.5526540848256403E-3</c:v>
                </c:pt>
                <c:pt idx="16">
                  <c:v>-1.3529398685901528E-2</c:v>
                </c:pt>
                <c:pt idx="17">
                  <c:v>-6.5305369370980415E-3</c:v>
                </c:pt>
                <c:pt idx="18">
                  <c:v>-4.3005820430752628E-3</c:v>
                </c:pt>
                <c:pt idx="19">
                  <c:v>1.9064110972788484E-4</c:v>
                </c:pt>
                <c:pt idx="20">
                  <c:v>-8.0766958081976981E-3</c:v>
                </c:pt>
                <c:pt idx="21">
                  <c:v>3.8075754982640486E-3</c:v>
                </c:pt>
                <c:pt idx="22">
                  <c:v>1.3436200152217026E-3</c:v>
                </c:pt>
                <c:pt idx="23">
                  <c:v>-7.0832753088567735E-4</c:v>
                </c:pt>
                <c:pt idx="24">
                  <c:v>-9.4128229724077528E-4</c:v>
                </c:pt>
                <c:pt idx="25">
                  <c:v>-2.33403704559354E-3</c:v>
                </c:pt>
                <c:pt idx="26">
                  <c:v>-1.2543154426025716E-4</c:v>
                </c:pt>
                <c:pt idx="27">
                  <c:v>4.4564926218559897E-4</c:v>
                </c:pt>
                <c:pt idx="28">
                  <c:v>-4.2597229880454446E-3</c:v>
                </c:pt>
                <c:pt idx="29">
                  <c:v>3.5494816165901888E-3</c:v>
                </c:pt>
                <c:pt idx="30">
                  <c:v>6.4252885692672734E-5</c:v>
                </c:pt>
                <c:pt idx="31">
                  <c:v>-5.4457365460471863E-3</c:v>
                </c:pt>
                <c:pt idx="32">
                  <c:v>-1.0625170109270776E-3</c:v>
                </c:pt>
                <c:pt idx="33">
                  <c:v>-2.7194620526966862E-3</c:v>
                </c:pt>
                <c:pt idx="34">
                  <c:v>4.8495487992090691E-3</c:v>
                </c:pt>
                <c:pt idx="35">
                  <c:v>-3.1398313340300632E-3</c:v>
                </c:pt>
                <c:pt idx="36">
                  <c:v>-7.2238099453070248E-4</c:v>
                </c:pt>
                <c:pt idx="37">
                  <c:v>-2.3232774265524725E-3</c:v>
                </c:pt>
                <c:pt idx="38">
                  <c:v>-2.6180661322083854E-3</c:v>
                </c:pt>
                <c:pt idx="39">
                  <c:v>-4.0317709165638149E-4</c:v>
                </c:pt>
                <c:pt idx="40">
                  <c:v>2.7415731181661407E-3</c:v>
                </c:pt>
                <c:pt idx="41">
                  <c:v>3.7011696361088919E-3</c:v>
                </c:pt>
                <c:pt idx="42">
                  <c:v>2.5669276321416135E-3</c:v>
                </c:pt>
                <c:pt idx="43">
                  <c:v>6.2170313756326756E-3</c:v>
                </c:pt>
                <c:pt idx="44">
                  <c:v>4.0269941218569194E-3</c:v>
                </c:pt>
                <c:pt idx="45">
                  <c:v>3.9500504474558884E-3</c:v>
                </c:pt>
                <c:pt idx="46">
                  <c:v>4.4474909571758925E-3</c:v>
                </c:pt>
                <c:pt idx="47">
                  <c:v>3.6526384034831771E-3</c:v>
                </c:pt>
                <c:pt idx="48">
                  <c:v>5.9737323130724107E-3</c:v>
                </c:pt>
                <c:pt idx="49">
                  <c:v>3.4053840827674708E-3</c:v>
                </c:pt>
                <c:pt idx="50">
                  <c:v>4.5100621133311591E-3</c:v>
                </c:pt>
                <c:pt idx="51">
                  <c:v>4.5513970969328632E-3</c:v>
                </c:pt>
                <c:pt idx="52">
                  <c:v>2.5465876150780886E-3</c:v>
                </c:pt>
                <c:pt idx="53">
                  <c:v>-2.1849060142242749E-5</c:v>
                </c:pt>
                <c:pt idx="54">
                  <c:v>2.9951972722621623E-3</c:v>
                </c:pt>
                <c:pt idx="55">
                  <c:v>2.9404563408461648E-3</c:v>
                </c:pt>
                <c:pt idx="56">
                  <c:v>2.3765661351975442E-3</c:v>
                </c:pt>
                <c:pt idx="57">
                  <c:v>6.8164426950190204E-4</c:v>
                </c:pt>
                <c:pt idx="58">
                  <c:v>1.5352888612736315E-3</c:v>
                </c:pt>
                <c:pt idx="59">
                  <c:v>-1.5174147312890796E-3</c:v>
                </c:pt>
                <c:pt idx="60">
                  <c:v>-1.5037715516978967E-3</c:v>
                </c:pt>
                <c:pt idx="61">
                  <c:v>6.8764716178004726E-4</c:v>
                </c:pt>
                <c:pt idx="62">
                  <c:v>4.2759946546588878E-4</c:v>
                </c:pt>
                <c:pt idx="63">
                  <c:v>6.6452776913150657E-4</c:v>
                </c:pt>
                <c:pt idx="64">
                  <c:v>-2.001533338758188E-3</c:v>
                </c:pt>
                <c:pt idx="65">
                  <c:v>-3.8801611312582196E-3</c:v>
                </c:pt>
                <c:pt idx="66">
                  <c:v>-3.6412221706703107E-3</c:v>
                </c:pt>
                <c:pt idx="67">
                  <c:v>-1.7546643179648935E-3</c:v>
                </c:pt>
                <c:pt idx="68">
                  <c:v>-3.5704583737818929E-3</c:v>
                </c:pt>
                <c:pt idx="69">
                  <c:v>-3.0985817029631768E-3</c:v>
                </c:pt>
                <c:pt idx="70">
                  <c:v>-2.1090136388099978E-3</c:v>
                </c:pt>
                <c:pt idx="71">
                  <c:v>-3.4267236898437581E-3</c:v>
                </c:pt>
                <c:pt idx="72">
                  <c:v>-2.8334318470688569E-3</c:v>
                </c:pt>
                <c:pt idx="73">
                  <c:v>-2.8189845389363644E-3</c:v>
                </c:pt>
                <c:pt idx="74">
                  <c:v>-3.213230904827391E-3</c:v>
                </c:pt>
                <c:pt idx="75">
                  <c:v>-2.68602272051921E-3</c:v>
                </c:pt>
                <c:pt idx="76">
                  <c:v>-2.6572143498186929E-3</c:v>
                </c:pt>
                <c:pt idx="77">
                  <c:v>-3.9466626990096731E-3</c:v>
                </c:pt>
                <c:pt idx="78">
                  <c:v>-3.4042271722518613E-3</c:v>
                </c:pt>
                <c:pt idx="79">
                  <c:v>-2.3131543348482442E-3</c:v>
                </c:pt>
                <c:pt idx="80">
                  <c:v>-2.852919382995367E-3</c:v>
                </c:pt>
                <c:pt idx="81">
                  <c:v>-2.0824831035790581E-3</c:v>
                </c:pt>
                <c:pt idx="82">
                  <c:v>-1.7008422305528903E-3</c:v>
                </c:pt>
                <c:pt idx="83">
                  <c:v>-2.3170281956159666E-3</c:v>
                </c:pt>
                <c:pt idx="84">
                  <c:v>-1.9101059224178041E-3</c:v>
                </c:pt>
                <c:pt idx="85">
                  <c:v>-9.691726627736319E-4</c:v>
                </c:pt>
                <c:pt idx="86">
                  <c:v>-7.5335687342259483E-4</c:v>
                </c:pt>
                <c:pt idx="87">
                  <c:v>-5.5374109023764717E-4</c:v>
                </c:pt>
                <c:pt idx="88">
                  <c:v>1.251299376445747E-4</c:v>
                </c:pt>
                <c:pt idx="89">
                  <c:v>2.0921101240967133E-4</c:v>
                </c:pt>
                <c:pt idx="90">
                  <c:v>2.2405282804704996E-4</c:v>
                </c:pt>
                <c:pt idx="91">
                  <c:v>8.6482954523514621E-4</c:v>
                </c:pt>
                <c:pt idx="92">
                  <c:v>8.663644798623249E-4</c:v>
                </c:pt>
                <c:pt idx="93">
                  <c:v>1.7631540345171004E-3</c:v>
                </c:pt>
                <c:pt idx="94">
                  <c:v>1.5293899933916943E-3</c:v>
                </c:pt>
                <c:pt idx="95">
                  <c:v>2.3655683715597675E-3</c:v>
                </c:pt>
                <c:pt idx="96">
                  <c:v>2.2330960712875214E-3</c:v>
                </c:pt>
                <c:pt idx="97">
                  <c:v>2.5764855831937883E-3</c:v>
                </c:pt>
                <c:pt idx="98">
                  <c:v>2.477050281922244E-3</c:v>
                </c:pt>
                <c:pt idx="99">
                  <c:v>2.833325298827738E-3</c:v>
                </c:pt>
                <c:pt idx="100">
                  <c:v>2.7514328762814344E-3</c:v>
                </c:pt>
                <c:pt idx="101">
                  <c:v>2.8953995420395451E-3</c:v>
                </c:pt>
                <c:pt idx="102">
                  <c:v>2.6274314701648649E-3</c:v>
                </c:pt>
                <c:pt idx="103">
                  <c:v>2.1668169696520412E-3</c:v>
                </c:pt>
                <c:pt idx="104">
                  <c:v>2.0191616686955349E-3</c:v>
                </c:pt>
                <c:pt idx="105">
                  <c:v>1.807281098239466E-3</c:v>
                </c:pt>
                <c:pt idx="106">
                  <c:v>1.3613375110872461E-3</c:v>
                </c:pt>
                <c:pt idx="107">
                  <c:v>7.919347584228742E-4</c:v>
                </c:pt>
                <c:pt idx="108">
                  <c:v>3.5245293241703557E-4</c:v>
                </c:pt>
                <c:pt idx="109">
                  <c:v>1.2080988634011192E-4</c:v>
                </c:pt>
                <c:pt idx="110">
                  <c:v>-3.2920938343172779E-4</c:v>
                </c:pt>
                <c:pt idx="111">
                  <c:v>-9.3412575469109527E-4</c:v>
                </c:pt>
                <c:pt idx="112">
                  <c:v>-1.4222177743528075E-3</c:v>
                </c:pt>
                <c:pt idx="113">
                  <c:v>-1.4961339347325797E-3</c:v>
                </c:pt>
                <c:pt idx="114">
                  <c:v>-2.0717022183884826E-3</c:v>
                </c:pt>
                <c:pt idx="115">
                  <c:v>-2.0524683957197087E-3</c:v>
                </c:pt>
                <c:pt idx="116">
                  <c:v>-2.3665640844283686E-3</c:v>
                </c:pt>
                <c:pt idx="117">
                  <c:v>-2.4749045538390302E-3</c:v>
                </c:pt>
                <c:pt idx="118">
                  <c:v>-2.4701463887890629E-3</c:v>
                </c:pt>
                <c:pt idx="119">
                  <c:v>-2.5572716864248335E-3</c:v>
                </c:pt>
                <c:pt idx="120">
                  <c:v>-2.5163681488782341E-3</c:v>
                </c:pt>
                <c:pt idx="121">
                  <c:v>-2.5631354411916885E-3</c:v>
                </c:pt>
                <c:pt idx="122">
                  <c:v>-2.1380630931373545E-3</c:v>
                </c:pt>
                <c:pt idx="123">
                  <c:v>-1.9552775238527165E-3</c:v>
                </c:pt>
                <c:pt idx="124">
                  <c:v>-1.5918800360668062E-3</c:v>
                </c:pt>
                <c:pt idx="125">
                  <c:v>-1.2774912765256552E-3</c:v>
                </c:pt>
                <c:pt idx="126">
                  <c:v>-9.8390067113696134E-4</c:v>
                </c:pt>
                <c:pt idx="127">
                  <c:v>-6.154492765670927E-4</c:v>
                </c:pt>
                <c:pt idx="128">
                  <c:v>-3.0445617707020034E-4</c:v>
                </c:pt>
                <c:pt idx="129">
                  <c:v>6.4667937316187363E-7</c:v>
                </c:pt>
                <c:pt idx="130">
                  <c:v>1.7541056883230155E-4</c:v>
                </c:pt>
                <c:pt idx="131">
                  <c:v>3.7272546168209963E-4</c:v>
                </c:pt>
                <c:pt idx="132">
                  <c:v>8.6536570152051517E-4</c:v>
                </c:pt>
                <c:pt idx="133">
                  <c:v>1.2779452092201993E-3</c:v>
                </c:pt>
                <c:pt idx="134">
                  <c:v>1.3384360682058283E-3</c:v>
                </c:pt>
                <c:pt idx="135">
                  <c:v>1.4187331487847121E-3</c:v>
                </c:pt>
                <c:pt idx="136">
                  <c:v>1.7667367117462085E-3</c:v>
                </c:pt>
                <c:pt idx="137">
                  <c:v>1.9316967190123879E-3</c:v>
                </c:pt>
                <c:pt idx="138">
                  <c:v>1.8963256144786111E-3</c:v>
                </c:pt>
                <c:pt idx="139">
                  <c:v>1.6167085519818158E-3</c:v>
                </c:pt>
                <c:pt idx="140">
                  <c:v>1.4191540069430353E-3</c:v>
                </c:pt>
                <c:pt idx="141">
                  <c:v>1.7650328799663217E-3</c:v>
                </c:pt>
                <c:pt idx="142">
                  <c:v>1.7342630107315404E-3</c:v>
                </c:pt>
                <c:pt idx="143">
                  <c:v>1.7098450692452083E-3</c:v>
                </c:pt>
                <c:pt idx="144">
                  <c:v>1.8182801330965948E-3</c:v>
                </c:pt>
                <c:pt idx="145">
                  <c:v>1.8183503127080503E-3</c:v>
                </c:pt>
                <c:pt idx="146">
                  <c:v>1.7102441095526721E-3</c:v>
                </c:pt>
                <c:pt idx="147">
                  <c:v>1.4510153000397708E-3</c:v>
                </c:pt>
                <c:pt idx="148">
                  <c:v>1.3244934165594913E-3</c:v>
                </c:pt>
                <c:pt idx="149">
                  <c:v>7.7783798810227012E-4</c:v>
                </c:pt>
                <c:pt idx="150">
                  <c:v>3.259917375972865E-4</c:v>
                </c:pt>
                <c:pt idx="151">
                  <c:v>8.3104796456234808E-5</c:v>
                </c:pt>
                <c:pt idx="152">
                  <c:v>-2.8145457197825685E-4</c:v>
                </c:pt>
                <c:pt idx="153">
                  <c:v>-3.5383468912408844E-4</c:v>
                </c:pt>
                <c:pt idx="154">
                  <c:v>-3.4326990624045095E-4</c:v>
                </c:pt>
                <c:pt idx="155">
                  <c:v>-5.0707618652690023E-4</c:v>
                </c:pt>
                <c:pt idx="156">
                  <c:v>-6.515084030986884E-4</c:v>
                </c:pt>
                <c:pt idx="157">
                  <c:v>-9.8597105712516786E-4</c:v>
                </c:pt>
                <c:pt idx="158">
                  <c:v>-1.4292301133627117E-3</c:v>
                </c:pt>
                <c:pt idx="159">
                  <c:v>-2.0094986253471614E-3</c:v>
                </c:pt>
                <c:pt idx="160">
                  <c:v>-2.7704561692363239E-3</c:v>
                </c:pt>
                <c:pt idx="161">
                  <c:v>-3.1088915966055453E-3</c:v>
                </c:pt>
                <c:pt idx="162">
                  <c:v>-1.6810497416657189E-3</c:v>
                </c:pt>
                <c:pt idx="163">
                  <c:v>-9.5185914936890548E-4</c:v>
                </c:pt>
                <c:pt idx="164">
                  <c:v>-7.7856361113637362E-4</c:v>
                </c:pt>
                <c:pt idx="165">
                  <c:v>-6.6791315100234172E-5</c:v>
                </c:pt>
                <c:pt idx="166">
                  <c:v>4.1196150273892229E-4</c:v>
                </c:pt>
                <c:pt idx="167">
                  <c:v>9.4521257247182078E-5</c:v>
                </c:pt>
                <c:pt idx="168">
                  <c:v>7.5103325814085409E-4</c:v>
                </c:pt>
                <c:pt idx="169">
                  <c:v>2.4434287758956508E-4</c:v>
                </c:pt>
                <c:pt idx="170">
                  <c:v>-3.699662998861708E-4</c:v>
                </c:pt>
                <c:pt idx="171">
                  <c:v>2.0291957476414879E-4</c:v>
                </c:pt>
                <c:pt idx="172">
                  <c:v>2.0081593255061314E-4</c:v>
                </c:pt>
                <c:pt idx="173">
                  <c:v>1.2668329086873431E-3</c:v>
                </c:pt>
                <c:pt idx="174">
                  <c:v>1.1008242074870278E-3</c:v>
                </c:pt>
                <c:pt idx="175">
                  <c:v>-1.1687728126172914E-3</c:v>
                </c:pt>
                <c:pt idx="176">
                  <c:v>-1.1352392135584033E-3</c:v>
                </c:pt>
                <c:pt idx="177">
                  <c:v>-6.3143712351765302E-4</c:v>
                </c:pt>
                <c:pt idx="178">
                  <c:v>6.5064984313489838E-4</c:v>
                </c:pt>
                <c:pt idx="179">
                  <c:v>6.1342414288234615E-4</c:v>
                </c:pt>
                <c:pt idx="180">
                  <c:v>1.5956851624996382E-3</c:v>
                </c:pt>
                <c:pt idx="181">
                  <c:v>5.6383736443099686E-4</c:v>
                </c:pt>
                <c:pt idx="182">
                  <c:v>1.222645276588219E-3</c:v>
                </c:pt>
                <c:pt idx="183">
                  <c:v>1.2558506199198405E-3</c:v>
                </c:pt>
                <c:pt idx="184">
                  <c:v>-3.4446797556908493E-4</c:v>
                </c:pt>
                <c:pt idx="185">
                  <c:v>-3.0567227189770563E-4</c:v>
                </c:pt>
                <c:pt idx="186">
                  <c:v>-1.8194936662243588E-3</c:v>
                </c:pt>
                <c:pt idx="187">
                  <c:v>-2.6003143664561357E-3</c:v>
                </c:pt>
                <c:pt idx="188">
                  <c:v>-2.394195714230829E-3</c:v>
                </c:pt>
                <c:pt idx="189">
                  <c:v>-7.4830184633611907E-4</c:v>
                </c:pt>
                <c:pt idx="190">
                  <c:v>-5.9054377287881543E-4</c:v>
                </c:pt>
                <c:pt idx="191">
                  <c:v>-7.935261578206898E-4</c:v>
                </c:pt>
                <c:pt idx="192">
                  <c:v>6.5555498966252124E-4</c:v>
                </c:pt>
                <c:pt idx="193">
                  <c:v>6.2054326745109023E-5</c:v>
                </c:pt>
                <c:pt idx="194">
                  <c:v>-1.9056867371070041E-4</c:v>
                </c:pt>
                <c:pt idx="195">
                  <c:v>9.0010800447348771E-5</c:v>
                </c:pt>
                <c:pt idx="196">
                  <c:v>-4.9459290813236301E-4</c:v>
                </c:pt>
                <c:pt idx="197">
                  <c:v>-3.8322730667905702E-4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25D-4712-A540-C5A14420B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77504"/>
        <c:axId val="157692288"/>
      </c:scatterChart>
      <c:valAx>
        <c:axId val="157477504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692288"/>
        <c:crosses val="autoZero"/>
        <c:crossBetween val="midCat"/>
      </c:valAx>
      <c:valAx>
        <c:axId val="157692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477504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2089552238805972"/>
          <c:y val="0.12121212121212122"/>
          <c:w val="0.12089552238805967"/>
          <c:h val="0.10303030303030303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866376427238701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'2_Alexa-488-IgG'!$B$1</c:f>
              <c:strCache>
                <c:ptCount val="1"/>
                <c:pt idx="0">
                  <c:v>antibody2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'2_Alexa-488-IgG'!$A$2:$A$238</c:f>
              <c:numCache>
                <c:formatCode>General</c:formatCode>
                <c:ptCount val="237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</c:numCache>
            </c:numRef>
          </c:xVal>
          <c:yVal>
            <c:numRef>
              <c:f>'2_Alexa-488-IgG'!$B$2:$B$238</c:f>
              <c:numCache>
                <c:formatCode>General</c:formatCode>
                <c:ptCount val="237"/>
                <c:pt idx="0">
                  <c:v>1.2459</c:v>
                </c:pt>
                <c:pt idx="1">
                  <c:v>1.27972</c:v>
                </c:pt>
                <c:pt idx="2">
                  <c:v>1.2964199999999999</c:v>
                </c:pt>
                <c:pt idx="3">
                  <c:v>1.2784</c:v>
                </c:pt>
                <c:pt idx="4">
                  <c:v>1.292</c:v>
                </c:pt>
                <c:pt idx="5">
                  <c:v>1.2979000000000001</c:v>
                </c:pt>
                <c:pt idx="6">
                  <c:v>1.2675000000000001</c:v>
                </c:pt>
                <c:pt idx="7">
                  <c:v>1.28451</c:v>
                </c:pt>
                <c:pt idx="8">
                  <c:v>1.2770900000000001</c:v>
                </c:pt>
                <c:pt idx="9">
                  <c:v>1.2798799999999999</c:v>
                </c:pt>
                <c:pt idx="10">
                  <c:v>1.2645999999999999</c:v>
                </c:pt>
                <c:pt idx="11">
                  <c:v>1.2725</c:v>
                </c:pt>
                <c:pt idx="12">
                  <c:v>1.2661800000000001</c:v>
                </c:pt>
                <c:pt idx="13">
                  <c:v>1.2705</c:v>
                </c:pt>
                <c:pt idx="14">
                  <c:v>1.2623899999999999</c:v>
                </c:pt>
                <c:pt idx="15">
                  <c:v>1.2664200000000001</c:v>
                </c:pt>
                <c:pt idx="16">
                  <c:v>1.2682599999999999</c:v>
                </c:pt>
                <c:pt idx="17">
                  <c:v>1.26118</c:v>
                </c:pt>
                <c:pt idx="18">
                  <c:v>1.2713399999999999</c:v>
                </c:pt>
                <c:pt idx="19">
                  <c:v>1.27024</c:v>
                </c:pt>
                <c:pt idx="20">
                  <c:v>1.2792699999999999</c:v>
                </c:pt>
                <c:pt idx="21">
                  <c:v>1.2714000000000001</c:v>
                </c:pt>
                <c:pt idx="22">
                  <c:v>1.2660499999999999</c:v>
                </c:pt>
                <c:pt idx="23">
                  <c:v>1.26508</c:v>
                </c:pt>
                <c:pt idx="24">
                  <c:v>1.2661199999999999</c:v>
                </c:pt>
                <c:pt idx="25">
                  <c:v>1.2681</c:v>
                </c:pt>
                <c:pt idx="26">
                  <c:v>1.26955</c:v>
                </c:pt>
                <c:pt idx="27">
                  <c:v>1.26335</c:v>
                </c:pt>
                <c:pt idx="28">
                  <c:v>1.2677400000000001</c:v>
                </c:pt>
                <c:pt idx="29">
                  <c:v>1.2705</c:v>
                </c:pt>
                <c:pt idx="30">
                  <c:v>1.2636099999999999</c:v>
                </c:pt>
                <c:pt idx="31">
                  <c:v>1.2636700000000001</c:v>
                </c:pt>
                <c:pt idx="32">
                  <c:v>1.26224</c:v>
                </c:pt>
                <c:pt idx="33">
                  <c:v>1.2624</c:v>
                </c:pt>
                <c:pt idx="34">
                  <c:v>1.26369</c:v>
                </c:pt>
                <c:pt idx="35">
                  <c:v>1.2656400000000001</c:v>
                </c:pt>
                <c:pt idx="36">
                  <c:v>1.2638799999999999</c:v>
                </c:pt>
                <c:pt idx="37">
                  <c:v>1.2620800000000001</c:v>
                </c:pt>
                <c:pt idx="38">
                  <c:v>1.26135</c:v>
                </c:pt>
                <c:pt idx="39">
                  <c:v>1.26433</c:v>
                </c:pt>
                <c:pt idx="40">
                  <c:v>1.26231</c:v>
                </c:pt>
                <c:pt idx="41">
                  <c:v>1.2602899999999999</c:v>
                </c:pt>
                <c:pt idx="42">
                  <c:v>1.26054</c:v>
                </c:pt>
                <c:pt idx="43">
                  <c:v>1.26071</c:v>
                </c:pt>
                <c:pt idx="44">
                  <c:v>1.2608999999999999</c:v>
                </c:pt>
                <c:pt idx="45">
                  <c:v>1.25858</c:v>
                </c:pt>
                <c:pt idx="46">
                  <c:v>1.2597799999999999</c:v>
                </c:pt>
                <c:pt idx="47">
                  <c:v>1.2571399999999999</c:v>
                </c:pt>
                <c:pt idx="48">
                  <c:v>1.2582599999999999</c:v>
                </c:pt>
                <c:pt idx="49">
                  <c:v>1.2589900000000001</c:v>
                </c:pt>
                <c:pt idx="50">
                  <c:v>1.25912</c:v>
                </c:pt>
                <c:pt idx="51">
                  <c:v>1.2547999999999999</c:v>
                </c:pt>
                <c:pt idx="52">
                  <c:v>1.2542199999999999</c:v>
                </c:pt>
                <c:pt idx="53">
                  <c:v>1.25685</c:v>
                </c:pt>
                <c:pt idx="54">
                  <c:v>1.2560500000000001</c:v>
                </c:pt>
                <c:pt idx="55">
                  <c:v>1.2564900000000001</c:v>
                </c:pt>
                <c:pt idx="56">
                  <c:v>1.2556099999999999</c:v>
                </c:pt>
                <c:pt idx="57">
                  <c:v>1.2547999999999999</c:v>
                </c:pt>
                <c:pt idx="58">
                  <c:v>1.2540199999999999</c:v>
                </c:pt>
                <c:pt idx="59">
                  <c:v>1.2533300000000001</c:v>
                </c:pt>
                <c:pt idx="60">
                  <c:v>1.2513700000000001</c:v>
                </c:pt>
                <c:pt idx="61">
                  <c:v>1.25278</c:v>
                </c:pt>
                <c:pt idx="62">
                  <c:v>1.25145</c:v>
                </c:pt>
                <c:pt idx="63">
                  <c:v>1.2522899999999999</c:v>
                </c:pt>
                <c:pt idx="64">
                  <c:v>1.2514700000000001</c:v>
                </c:pt>
                <c:pt idx="65">
                  <c:v>1.2490300000000001</c:v>
                </c:pt>
                <c:pt idx="66">
                  <c:v>1.2485599999999999</c:v>
                </c:pt>
                <c:pt idx="67">
                  <c:v>1.24926</c:v>
                </c:pt>
                <c:pt idx="68">
                  <c:v>1.2486200000000001</c:v>
                </c:pt>
                <c:pt idx="69">
                  <c:v>1.24726</c:v>
                </c:pt>
                <c:pt idx="70">
                  <c:v>1.2454799999999999</c:v>
                </c:pt>
                <c:pt idx="71">
                  <c:v>1.2468699999999999</c:v>
                </c:pt>
                <c:pt idx="72">
                  <c:v>1.24525</c:v>
                </c:pt>
                <c:pt idx="73">
                  <c:v>1.2447999999999999</c:v>
                </c:pt>
                <c:pt idx="74">
                  <c:v>1.2441500000000001</c:v>
                </c:pt>
                <c:pt idx="75">
                  <c:v>1.2440100000000001</c:v>
                </c:pt>
                <c:pt idx="76">
                  <c:v>1.24342</c:v>
                </c:pt>
                <c:pt idx="77">
                  <c:v>1.24308</c:v>
                </c:pt>
                <c:pt idx="78">
                  <c:v>1.24353</c:v>
                </c:pt>
                <c:pt idx="79">
                  <c:v>1.2425999999999999</c:v>
                </c:pt>
                <c:pt idx="80">
                  <c:v>1.24197</c:v>
                </c:pt>
                <c:pt idx="81">
                  <c:v>1.2410399999999999</c:v>
                </c:pt>
                <c:pt idx="82">
                  <c:v>1.23997</c:v>
                </c:pt>
                <c:pt idx="83">
                  <c:v>1.23868</c:v>
                </c:pt>
                <c:pt idx="84">
                  <c:v>1.23899</c:v>
                </c:pt>
                <c:pt idx="85">
                  <c:v>1.2372799999999999</c:v>
                </c:pt>
                <c:pt idx="86">
                  <c:v>1.2369399999999999</c:v>
                </c:pt>
                <c:pt idx="87">
                  <c:v>1.23658</c:v>
                </c:pt>
                <c:pt idx="88">
                  <c:v>1.23543</c:v>
                </c:pt>
                <c:pt idx="89">
                  <c:v>1.2336800000000001</c:v>
                </c:pt>
                <c:pt idx="90">
                  <c:v>1.2330399999999999</c:v>
                </c:pt>
                <c:pt idx="91">
                  <c:v>1.2314400000000001</c:v>
                </c:pt>
                <c:pt idx="92">
                  <c:v>1.23098</c:v>
                </c:pt>
                <c:pt idx="93">
                  <c:v>1.2302500000000001</c:v>
                </c:pt>
                <c:pt idx="94">
                  <c:v>1.2289099999999999</c:v>
                </c:pt>
                <c:pt idx="95">
                  <c:v>1.22786</c:v>
                </c:pt>
                <c:pt idx="96">
                  <c:v>1.2260200000000001</c:v>
                </c:pt>
                <c:pt idx="97">
                  <c:v>1.22451</c:v>
                </c:pt>
                <c:pt idx="98">
                  <c:v>1.22241</c:v>
                </c:pt>
                <c:pt idx="99">
                  <c:v>1.2208399999999999</c:v>
                </c:pt>
                <c:pt idx="100">
                  <c:v>1.2192700000000001</c:v>
                </c:pt>
                <c:pt idx="101">
                  <c:v>1.21777</c:v>
                </c:pt>
                <c:pt idx="102">
                  <c:v>1.2159599999999999</c:v>
                </c:pt>
                <c:pt idx="103">
                  <c:v>1.2144999999999999</c:v>
                </c:pt>
                <c:pt idx="104">
                  <c:v>1.2119200000000001</c:v>
                </c:pt>
                <c:pt idx="105">
                  <c:v>1.2088099999999999</c:v>
                </c:pt>
                <c:pt idx="106">
                  <c:v>1.20648</c:v>
                </c:pt>
                <c:pt idx="107">
                  <c:v>1.2041900000000001</c:v>
                </c:pt>
                <c:pt idx="108">
                  <c:v>1.2017100000000001</c:v>
                </c:pt>
                <c:pt idx="109">
                  <c:v>1.1994</c:v>
                </c:pt>
                <c:pt idx="110">
                  <c:v>1.1973100000000001</c:v>
                </c:pt>
                <c:pt idx="111">
                  <c:v>1.19502</c:v>
                </c:pt>
                <c:pt idx="112">
                  <c:v>1.1910499999999999</c:v>
                </c:pt>
                <c:pt idx="113">
                  <c:v>1.1872799999999999</c:v>
                </c:pt>
                <c:pt idx="114">
                  <c:v>1.1837200000000001</c:v>
                </c:pt>
                <c:pt idx="115">
                  <c:v>1.1803600000000001</c:v>
                </c:pt>
                <c:pt idx="116">
                  <c:v>1.17737</c:v>
                </c:pt>
                <c:pt idx="117">
                  <c:v>1.17432</c:v>
                </c:pt>
                <c:pt idx="118">
                  <c:v>1.1714100000000001</c:v>
                </c:pt>
                <c:pt idx="119">
                  <c:v>1.1686399999999999</c:v>
                </c:pt>
                <c:pt idx="120">
                  <c:v>1.1633599999999999</c:v>
                </c:pt>
                <c:pt idx="121">
                  <c:v>1.1585799999999999</c:v>
                </c:pt>
                <c:pt idx="122">
                  <c:v>1.1541699999999999</c:v>
                </c:pt>
                <c:pt idx="123">
                  <c:v>1.1499900000000001</c:v>
                </c:pt>
                <c:pt idx="124">
                  <c:v>1.1461399999999999</c:v>
                </c:pt>
                <c:pt idx="125">
                  <c:v>1.14238</c:v>
                </c:pt>
                <c:pt idx="126">
                  <c:v>1.139</c:v>
                </c:pt>
                <c:pt idx="127">
                  <c:v>1.1357200000000001</c:v>
                </c:pt>
                <c:pt idx="128">
                  <c:v>1.1294900000000001</c:v>
                </c:pt>
                <c:pt idx="129">
                  <c:v>1.1238900000000001</c:v>
                </c:pt>
                <c:pt idx="130">
                  <c:v>1.1188800000000001</c:v>
                </c:pt>
                <c:pt idx="131">
                  <c:v>1.1143400000000001</c:v>
                </c:pt>
                <c:pt idx="132">
                  <c:v>1.1099399999999999</c:v>
                </c:pt>
                <c:pt idx="133">
                  <c:v>1.1060700000000001</c:v>
                </c:pt>
                <c:pt idx="134">
                  <c:v>1.10229</c:v>
                </c:pt>
                <c:pt idx="135">
                  <c:v>1.0987199999999999</c:v>
                </c:pt>
                <c:pt idx="136">
                  <c:v>1.09215</c:v>
                </c:pt>
                <c:pt idx="137">
                  <c:v>1.0866800000000001</c:v>
                </c:pt>
                <c:pt idx="138">
                  <c:v>1.0818099999999999</c:v>
                </c:pt>
                <c:pt idx="139">
                  <c:v>1.07734</c:v>
                </c:pt>
                <c:pt idx="140">
                  <c:v>1.07308</c:v>
                </c:pt>
                <c:pt idx="141">
                  <c:v>1.0694999999999999</c:v>
                </c:pt>
                <c:pt idx="142">
                  <c:v>1.06646</c:v>
                </c:pt>
                <c:pt idx="143">
                  <c:v>1.0635399999999999</c:v>
                </c:pt>
                <c:pt idx="144">
                  <c:v>1.05857</c:v>
                </c:pt>
                <c:pt idx="145">
                  <c:v>1.05427</c:v>
                </c:pt>
                <c:pt idx="146">
                  <c:v>1.0504500000000001</c:v>
                </c:pt>
                <c:pt idx="147">
                  <c:v>1.0470900000000001</c:v>
                </c:pt>
                <c:pt idx="148">
                  <c:v>1.04436</c:v>
                </c:pt>
                <c:pt idx="149">
                  <c:v>1.04166</c:v>
                </c:pt>
                <c:pt idx="150">
                  <c:v>1.03938</c:v>
                </c:pt>
                <c:pt idx="151">
                  <c:v>1.03748</c:v>
                </c:pt>
                <c:pt idx="152">
                  <c:v>1.03376</c:v>
                </c:pt>
                <c:pt idx="153">
                  <c:v>1.0309200000000001</c:v>
                </c:pt>
                <c:pt idx="154">
                  <c:v>1.02891</c:v>
                </c:pt>
                <c:pt idx="155">
                  <c:v>1.0274799999999999</c:v>
                </c:pt>
                <c:pt idx="156">
                  <c:v>1.02566</c:v>
                </c:pt>
                <c:pt idx="157">
                  <c:v>1.02336</c:v>
                </c:pt>
                <c:pt idx="158">
                  <c:v>1.0213000000000001</c:v>
                </c:pt>
                <c:pt idx="159">
                  <c:v>1.0196000000000001</c:v>
                </c:pt>
                <c:pt idx="160">
                  <c:v>1.01772</c:v>
                </c:pt>
                <c:pt idx="161">
                  <c:v>1.0164200000000001</c:v>
                </c:pt>
                <c:pt idx="162">
                  <c:v>1.0147299999999999</c:v>
                </c:pt>
                <c:pt idx="163">
                  <c:v>1.0133099999999999</c:v>
                </c:pt>
                <c:pt idx="164">
                  <c:v>1.0128699999999999</c:v>
                </c:pt>
                <c:pt idx="165">
                  <c:v>1.01268</c:v>
                </c:pt>
                <c:pt idx="166">
                  <c:v>1.0128600000000001</c:v>
                </c:pt>
                <c:pt idx="167">
                  <c:v>1.0122500000000001</c:v>
                </c:pt>
                <c:pt idx="168">
                  <c:v>1.0120499999999999</c:v>
                </c:pt>
                <c:pt idx="169">
                  <c:v>1.0115700000000001</c:v>
                </c:pt>
                <c:pt idx="170">
                  <c:v>1.0112099999999999</c:v>
                </c:pt>
                <c:pt idx="171">
                  <c:v>1.01153</c:v>
                </c:pt>
                <c:pt idx="172">
                  <c:v>1.01044</c:v>
                </c:pt>
                <c:pt idx="173">
                  <c:v>1.00922</c:v>
                </c:pt>
                <c:pt idx="174">
                  <c:v>1.0098400000000001</c:v>
                </c:pt>
                <c:pt idx="175">
                  <c:v>1.00905</c:v>
                </c:pt>
                <c:pt idx="176">
                  <c:v>1.0084500000000001</c:v>
                </c:pt>
                <c:pt idx="177">
                  <c:v>1.00705</c:v>
                </c:pt>
                <c:pt idx="178">
                  <c:v>1.0059400000000001</c:v>
                </c:pt>
                <c:pt idx="179">
                  <c:v>1.0065299999999999</c:v>
                </c:pt>
                <c:pt idx="180">
                  <c:v>1.00753</c:v>
                </c:pt>
                <c:pt idx="181">
                  <c:v>1.0061199999999999</c:v>
                </c:pt>
                <c:pt idx="182">
                  <c:v>1.0053300000000001</c:v>
                </c:pt>
                <c:pt idx="183">
                  <c:v>1.0050699999999999</c:v>
                </c:pt>
                <c:pt idx="184">
                  <c:v>1.0033700000000001</c:v>
                </c:pt>
                <c:pt idx="185">
                  <c:v>1.00403</c:v>
                </c:pt>
                <c:pt idx="186">
                  <c:v>1.0053099999999999</c:v>
                </c:pt>
                <c:pt idx="187">
                  <c:v>1.0039199999999999</c:v>
                </c:pt>
                <c:pt idx="188">
                  <c:v>1.0046900000000001</c:v>
                </c:pt>
                <c:pt idx="189">
                  <c:v>1.0042500000000001</c:v>
                </c:pt>
                <c:pt idx="190">
                  <c:v>1.00467</c:v>
                </c:pt>
                <c:pt idx="191">
                  <c:v>1.0043899999999999</c:v>
                </c:pt>
                <c:pt idx="192">
                  <c:v>1.00482</c:v>
                </c:pt>
                <c:pt idx="193">
                  <c:v>1.0053799999999999</c:v>
                </c:pt>
                <c:pt idx="194">
                  <c:v>1.00414</c:v>
                </c:pt>
                <c:pt idx="195">
                  <c:v>1.0043500000000001</c:v>
                </c:pt>
                <c:pt idx="196">
                  <c:v>1.0036099999999999</c:v>
                </c:pt>
                <c:pt idx="197">
                  <c:v>1.00414</c:v>
                </c:pt>
                <c:pt idx="198">
                  <c:v>1.0035499999999999</c:v>
                </c:pt>
                <c:pt idx="199">
                  <c:v>1.0048299999999999</c:v>
                </c:pt>
                <c:pt idx="200">
                  <c:v>1.0042</c:v>
                </c:pt>
                <c:pt idx="201">
                  <c:v>1.00369</c:v>
                </c:pt>
                <c:pt idx="202">
                  <c:v>1.00404</c:v>
                </c:pt>
                <c:pt idx="203">
                  <c:v>1.0032399999999999</c:v>
                </c:pt>
                <c:pt idx="204">
                  <c:v>1.0041800000000001</c:v>
                </c:pt>
                <c:pt idx="205">
                  <c:v>1.0040100000000001</c:v>
                </c:pt>
                <c:pt idx="206">
                  <c:v>1.00448</c:v>
                </c:pt>
                <c:pt idx="207">
                  <c:v>1.0046600000000001</c:v>
                </c:pt>
                <c:pt idx="208">
                  <c:v>1.0039899999999999</c:v>
                </c:pt>
                <c:pt idx="209">
                  <c:v>1.0044500000000001</c:v>
                </c:pt>
                <c:pt idx="210">
                  <c:v>1.00431</c:v>
                </c:pt>
                <c:pt idx="211">
                  <c:v>1.0043800000000001</c:v>
                </c:pt>
                <c:pt idx="212">
                  <c:v>1.00406</c:v>
                </c:pt>
                <c:pt idx="213">
                  <c:v>1.0049600000000001</c:v>
                </c:pt>
                <c:pt idx="214">
                  <c:v>1.0049300000000001</c:v>
                </c:pt>
                <c:pt idx="215">
                  <c:v>1.0044599999999999</c:v>
                </c:pt>
                <c:pt idx="216">
                  <c:v>1.0040199999999999</c:v>
                </c:pt>
                <c:pt idx="217">
                  <c:v>1.0047299999999999</c:v>
                </c:pt>
                <c:pt idx="218">
                  <c:v>1.0038400000000001</c:v>
                </c:pt>
                <c:pt idx="219">
                  <c:v>1.0038199999999999</c:v>
                </c:pt>
                <c:pt idx="220">
                  <c:v>1.00467</c:v>
                </c:pt>
                <c:pt idx="221">
                  <c:v>1.0045500000000001</c:v>
                </c:pt>
                <c:pt idx="222">
                  <c:v>1.0046900000000001</c:v>
                </c:pt>
                <c:pt idx="223">
                  <c:v>1.0041800000000001</c:v>
                </c:pt>
                <c:pt idx="224">
                  <c:v>1.00491</c:v>
                </c:pt>
                <c:pt idx="225">
                  <c:v>1.0043</c:v>
                </c:pt>
                <c:pt idx="226">
                  <c:v>1.0032300000000001</c:v>
                </c:pt>
                <c:pt idx="227">
                  <c:v>1.00427</c:v>
                </c:pt>
                <c:pt idx="228">
                  <c:v>1.0040899999999999</c:v>
                </c:pt>
                <c:pt idx="229">
                  <c:v>1.00345</c:v>
                </c:pt>
                <c:pt idx="230">
                  <c:v>1.0026299999999999</c:v>
                </c:pt>
                <c:pt idx="231">
                  <c:v>1.0029999999999999</c:v>
                </c:pt>
                <c:pt idx="232">
                  <c:v>1.0021100000000001</c:v>
                </c:pt>
                <c:pt idx="233">
                  <c:v>1.0036499999999999</c:v>
                </c:pt>
                <c:pt idx="234">
                  <c:v>1.0051600000000001</c:v>
                </c:pt>
                <c:pt idx="235">
                  <c:v>1.00397</c:v>
                </c:pt>
                <c:pt idx="236">
                  <c:v>1.0041199999999999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0D5-4F91-8657-35193EF4608E}"/>
            </c:ext>
          </c:extLst>
        </c:ser>
        <c:ser>
          <c:idx val="1"/>
          <c:order val="1"/>
          <c:tx>
            <c:strRef>
              <c:f>'2_Alexa-488-IgG'!$E$1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'2_Alexa-488-IgG'!$A$2:$A$238</c:f>
              <c:numCache>
                <c:formatCode>General</c:formatCode>
                <c:ptCount val="237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</c:numCache>
            </c:numRef>
          </c:xVal>
          <c:yVal>
            <c:numRef>
              <c:f>'2_Alexa-488-IgG'!$E$2:$E$200</c:f>
              <c:numCache>
                <c:formatCode>General</c:formatCode>
                <c:ptCount val="199"/>
                <c:pt idx="0">
                  <c:v>1.3027146914105345</c:v>
                </c:pt>
                <c:pt idx="1">
                  <c:v>1.2977135134417552</c:v>
                </c:pt>
                <c:pt idx="2">
                  <c:v>1.2933538073822439</c:v>
                </c:pt>
                <c:pt idx="3">
                  <c:v>1.2895531005096132</c:v>
                </c:pt>
                <c:pt idx="4">
                  <c:v>1.286239523525905</c:v>
                </c:pt>
                <c:pt idx="5">
                  <c:v>1.2833504472872959</c:v>
                </c:pt>
                <c:pt idx="6">
                  <c:v>1.2808312948079297</c:v>
                </c:pt>
                <c:pt idx="7">
                  <c:v>1.2786345060030695</c:v>
                </c:pt>
                <c:pt idx="8">
                  <c:v>1.2767186355340543</c:v>
                </c:pt>
                <c:pt idx="9">
                  <c:v>1.2750475666423091</c:v>
                </c:pt>
                <c:pt idx="10">
                  <c:v>1.2735898260598284</c:v>
                </c:pt>
                <c:pt idx="11">
                  <c:v>1.2723179870008425</c:v>
                </c:pt>
                <c:pt idx="12">
                  <c:v>1.2712081489101732</c:v>
                </c:pt>
                <c:pt idx="13">
                  <c:v>1.2702394840997513</c:v>
                </c:pt>
                <c:pt idx="14">
                  <c:v>1.2693938426735685</c:v>
                </c:pt>
                <c:pt idx="15">
                  <c:v>1.2686554082469794</c:v>
                </c:pt>
                <c:pt idx="16">
                  <c:v>1.2674468008821436</c:v>
                </c:pt>
                <c:pt idx="17">
                  <c:v>1.2665233257968456</c:v>
                </c:pt>
                <c:pt idx="18">
                  <c:v>1.2658163823739752</c:v>
                </c:pt>
                <c:pt idx="19">
                  <c:v>1.2652738758352495</c:v>
                </c:pt>
                <c:pt idx="20">
                  <c:v>1.2648562458079027</c:v>
                </c:pt>
                <c:pt idx="21">
                  <c:v>1.264533450449149</c:v>
                </c:pt>
                <c:pt idx="22">
                  <c:v>1.2642826762137762</c:v>
                </c:pt>
                <c:pt idx="23">
                  <c:v>1.2640865986694836</c:v>
                </c:pt>
                <c:pt idx="24">
                  <c:v>1.2638090749260442</c:v>
                </c:pt>
                <c:pt idx="25">
                  <c:v>1.263629229662284</c:v>
                </c:pt>
                <c:pt idx="26">
                  <c:v>1.2635057442087705</c:v>
                </c:pt>
                <c:pt idx="27">
                  <c:v>1.263414791007111</c:v>
                </c:pt>
                <c:pt idx="28">
                  <c:v>1.2633426292123451</c:v>
                </c:pt>
                <c:pt idx="29">
                  <c:v>1.2632813347505745</c:v>
                </c:pt>
                <c:pt idx="30">
                  <c:v>1.2632263379433804</c:v>
                </c:pt>
                <c:pt idx="31">
                  <c:v>1.2631750035135996</c:v>
                </c:pt>
                <c:pt idx="32">
                  <c:v>1.2630778860697793</c:v>
                </c:pt>
                <c:pt idx="33">
                  <c:v>1.2629840252974327</c:v>
                </c:pt>
                <c:pt idx="34">
                  <c:v>1.2628914394842028</c:v>
                </c:pt>
                <c:pt idx="35">
                  <c:v>1.2627994689653863</c:v>
                </c:pt>
                <c:pt idx="36">
                  <c:v>1.2627078937330354</c:v>
                </c:pt>
                <c:pt idx="37">
                  <c:v>1.2626166399917116</c:v>
                </c:pt>
                <c:pt idx="38">
                  <c:v>1.2625256825718876</c:v>
                </c:pt>
                <c:pt idx="39">
                  <c:v>1.2624350124769452</c:v>
                </c:pt>
                <c:pt idx="40">
                  <c:v>1.2622545215884795</c:v>
                </c:pt>
                <c:pt idx="41">
                  <c:v>1.2620751535287393</c:v>
                </c:pt>
                <c:pt idx="42">
                  <c:v>1.2618969001880855</c:v>
                </c:pt>
                <c:pt idx="43">
                  <c:v>1.2617197541294367</c:v>
                </c:pt>
                <c:pt idx="44">
                  <c:v>1.2615437080333152</c:v>
                </c:pt>
                <c:pt idx="45">
                  <c:v>1.2613687546361851</c:v>
                </c:pt>
                <c:pt idx="46">
                  <c:v>1.2611948867233507</c:v>
                </c:pt>
                <c:pt idx="47">
                  <c:v>1.261022097127888</c:v>
                </c:pt>
                <c:pt idx="48">
                  <c:v>1.2606797244579342</c:v>
                </c:pt>
                <c:pt idx="49">
                  <c:v>1.2603415802326841</c:v>
                </c:pt>
                <c:pt idx="50">
                  <c:v>1.2600076088014123</c:v>
                </c:pt>
                <c:pt idx="51">
                  <c:v>1.2596777552465186</c:v>
                </c:pt>
                <c:pt idx="52">
                  <c:v>1.2593519653738685</c:v>
                </c:pt>
                <c:pt idx="53">
                  <c:v>1.2590301857032624</c:v>
                </c:pt>
                <c:pt idx="54">
                  <c:v>1.2587123634590291</c:v>
                </c:pt>
                <c:pt idx="55">
                  <c:v>1.2583984465607456</c:v>
                </c:pt>
                <c:pt idx="56">
                  <c:v>1.2577821239017304</c:v>
                </c:pt>
                <c:pt idx="57">
                  <c:v>1.2571808146427095</c:v>
                </c:pt>
                <c:pt idx="58">
                  <c:v>1.256594126250328</c:v>
                </c:pt>
                <c:pt idx="59">
                  <c:v>1.2560216764652288</c:v>
                </c:pt>
                <c:pt idx="60">
                  <c:v>1.2554630930331254</c:v>
                </c:pt>
                <c:pt idx="61">
                  <c:v>1.2549180134429172</c:v>
                </c:pt>
                <c:pt idx="62">
                  <c:v>1.2543860846716557</c:v>
                </c:pt>
                <c:pt idx="63">
                  <c:v>1.2538669629361914</c:v>
                </c:pt>
                <c:pt idx="64">
                  <c:v>1.2528658101942511</c:v>
                </c:pt>
                <c:pt idx="65">
                  <c:v>1.2519119807143497</c:v>
                </c:pt>
                <c:pt idx="66">
                  <c:v>1.2510030329958461</c:v>
                </c:pt>
                <c:pt idx="67">
                  <c:v>1.2501366516686381</c:v>
                </c:pt>
                <c:pt idx="68">
                  <c:v>1.2493106409766337</c:v>
                </c:pt>
                <c:pt idx="69">
                  <c:v>1.2485229185979148</c:v>
                </c:pt>
                <c:pt idx="70">
                  <c:v>1.2477715097841973</c:v>
                </c:pt>
                <c:pt idx="71">
                  <c:v>1.2470545418030883</c:v>
                </c:pt>
                <c:pt idx="72">
                  <c:v>1.2457169161373598</c:v>
                </c:pt>
                <c:pt idx="73">
                  <c:v>1.2444969064730493</c:v>
                </c:pt>
                <c:pt idx="74">
                  <c:v>1.2433826997310189</c:v>
                </c:pt>
                <c:pt idx="75">
                  <c:v>1.2423636718053563</c:v>
                </c:pt>
                <c:pt idx="76">
                  <c:v>1.241430267883838</c:v>
                </c:pt>
                <c:pt idx="77">
                  <c:v>1.2405738948156448</c:v>
                </c:pt>
                <c:pt idx="78">
                  <c:v>1.2397868243135723</c:v>
                </c:pt>
                <c:pt idx="79">
                  <c:v>1.2390621059000548</c:v>
                </c:pt>
                <c:pt idx="80">
                  <c:v>1.2377753506112645</c:v>
                </c:pt>
                <c:pt idx="81">
                  <c:v>1.2366707970161241</c:v>
                </c:pt>
                <c:pt idx="82">
                  <c:v>1.2357138004971113</c:v>
                </c:pt>
                <c:pt idx="83">
                  <c:v>1.2348763385363677</c:v>
                </c:pt>
                <c:pt idx="84">
                  <c:v>1.2341357447439707</c:v>
                </c:pt>
                <c:pt idx="85">
                  <c:v>1.2334736849173897</c:v>
                </c:pt>
                <c:pt idx="86">
                  <c:v>1.2328753288581935</c:v>
                </c:pt>
                <c:pt idx="87">
                  <c:v>1.2323286805195519</c:v>
                </c:pt>
                <c:pt idx="88">
                  <c:v>1.2313535463974192</c:v>
                </c:pt>
                <c:pt idx="89">
                  <c:v>1.2304908438930655</c:v>
                </c:pt>
                <c:pt idx="90">
                  <c:v>1.2297029836118243</c:v>
                </c:pt>
                <c:pt idx="91">
                  <c:v>1.228965362127473</c:v>
                </c:pt>
                <c:pt idx="92">
                  <c:v>1.228261871930453</c:v>
                </c:pt>
                <c:pt idx="93">
                  <c:v>1.2275819639542085</c:v>
                </c:pt>
                <c:pt idx="94">
                  <c:v>1.2269187258088965</c:v>
                </c:pt>
                <c:pt idx="95">
                  <c:v>1.2262676245038324</c:v>
                </c:pt>
                <c:pt idx="96">
                  <c:v>1.22499094651243</c:v>
                </c:pt>
                <c:pt idx="97">
                  <c:v>1.2237383543029139</c:v>
                </c:pt>
                <c:pt idx="98">
                  <c:v>1.2225039039054471</c:v>
                </c:pt>
                <c:pt idx="99">
                  <c:v>1.2212849212067767</c:v>
                </c:pt>
                <c:pt idx="100">
                  <c:v>1.220080134721139</c:v>
                </c:pt>
                <c:pt idx="101">
                  <c:v>1.2188888761934851</c:v>
                </c:pt>
                <c:pt idx="102">
                  <c:v>1.2177107383092372</c:v>
                </c:pt>
                <c:pt idx="103">
                  <c:v>1.2165454280853158</c:v>
                </c:pt>
                <c:pt idx="104">
                  <c:v>1.2142523491916524</c:v>
                </c:pt>
                <c:pt idx="105">
                  <c:v>1.2120079388073335</c:v>
                </c:pt>
                <c:pt idx="106">
                  <c:v>1.2098106469382168</c:v>
                </c:pt>
                <c:pt idx="107">
                  <c:v>1.207659002520417</c:v>
                </c:pt>
                <c:pt idx="108">
                  <c:v>1.2055515976304692</c:v>
                </c:pt>
                <c:pt idx="109">
                  <c:v>1.2034870821208767</c:v>
                </c:pt>
                <c:pt idx="110">
                  <c:v>1.2014641603160774</c:v>
                </c:pt>
                <c:pt idx="111">
                  <c:v>1.1994815882247052</c:v>
                </c:pt>
                <c:pt idx="112">
                  <c:v>1.1956327604140078</c:v>
                </c:pt>
                <c:pt idx="113">
                  <c:v>1.1919315868840024</c:v>
                </c:pt>
                <c:pt idx="114">
                  <c:v>1.1883697339943329</c:v>
                </c:pt>
                <c:pt idx="115">
                  <c:v>1.1849394836538629</c:v>
                </c:pt>
                <c:pt idx="116">
                  <c:v>1.1816336775180711</c:v>
                </c:pt>
                <c:pt idx="117">
                  <c:v>1.1784456671489099</c:v>
                </c:pt>
                <c:pt idx="118">
                  <c:v>1.1753692694068438</c:v>
                </c:pt>
                <c:pt idx="119">
                  <c:v>1.1723987264452664</c:v>
                </c:pt>
                <c:pt idx="120">
                  <c:v>1.1667540878404279</c:v>
                </c:pt>
                <c:pt idx="121">
                  <c:v>1.1614729148115026</c:v>
                </c:pt>
                <c:pt idx="122">
                  <c:v>1.1565212137355254</c:v>
                </c:pt>
                <c:pt idx="123">
                  <c:v>1.151869101827081</c:v>
                </c:pt>
                <c:pt idx="124">
                  <c:v>1.1474902039711197</c:v>
                </c:pt>
                <c:pt idx="125">
                  <c:v>1.1433611527285859</c:v>
                </c:pt>
                <c:pt idx="126">
                  <c:v>1.1394611714963558</c:v>
                </c:pt>
                <c:pt idx="127">
                  <c:v>1.1357717251222983</c:v>
                </c:pt>
                <c:pt idx="128">
                  <c:v>1.1289597828038476</c:v>
                </c:pt>
                <c:pt idx="129">
                  <c:v>1.1228117572103817</c:v>
                </c:pt>
                <c:pt idx="130">
                  <c:v>1.1172351710295445</c:v>
                </c:pt>
                <c:pt idx="131">
                  <c:v>1.112153959271091</c:v>
                </c:pt>
                <c:pt idx="132">
                  <c:v>1.1075049830020554</c:v>
                </c:pt>
                <c:pt idx="133">
                  <c:v>1.1032353955197847</c:v>
                </c:pt>
                <c:pt idx="134">
                  <c:v>1.0993006273135126</c:v>
                </c:pt>
                <c:pt idx="135">
                  <c:v>1.0956628265983255</c:v>
                </c:pt>
                <c:pt idx="136">
                  <c:v>1.0891532473907577</c:v>
                </c:pt>
                <c:pt idx="137">
                  <c:v>1.0834977902647378</c:v>
                </c:pt>
                <c:pt idx="138">
                  <c:v>1.0785389405568022</c:v>
                </c:pt>
                <c:pt idx="139">
                  <c:v>1.0741556682609645</c:v>
                </c:pt>
                <c:pt idx="140">
                  <c:v>1.0702534427721617</c:v>
                </c:pt>
                <c:pt idx="141">
                  <c:v>1.0667573568044144</c:v>
                </c:pt>
                <c:pt idx="142">
                  <c:v>1.0636072857293009</c:v>
                </c:pt>
                <c:pt idx="143">
                  <c:v>1.0607544124509645</c:v>
                </c:pt>
                <c:pt idx="144">
                  <c:v>1.0557869502599855</c:v>
                </c:pt>
                <c:pt idx="145">
                  <c:v>1.0516090239982545</c:v>
                </c:pt>
                <c:pt idx="146">
                  <c:v>1.0480468432167909</c:v>
                </c:pt>
                <c:pt idx="147">
                  <c:v>1.044974120756498</c:v>
                </c:pt>
                <c:pt idx="148">
                  <c:v>1.0422968809808613</c:v>
                </c:pt>
                <c:pt idx="149">
                  <c:v>1.039943747579287</c:v>
                </c:pt>
                <c:pt idx="150">
                  <c:v>1.0378595358468305</c:v>
                </c:pt>
                <c:pt idx="151">
                  <c:v>1.0360009081315722</c:v>
                </c:pt>
                <c:pt idx="152">
                  <c:v>1.0328290650701202</c:v>
                </c:pt>
                <c:pt idx="153">
                  <c:v>1.0302235756187499</c:v>
                </c:pt>
                <c:pt idx="154">
                  <c:v>1.0280462686873433</c:v>
                </c:pt>
                <c:pt idx="155">
                  <c:v>1.0262004869742702</c:v>
                </c:pt>
                <c:pt idx="156">
                  <c:v>1.0246165883353495</c:v>
                </c:pt>
                <c:pt idx="157">
                  <c:v>1.0232431265357513</c:v>
                </c:pt>
                <c:pt idx="158">
                  <c:v>1.022041274967445</c:v>
                </c:pt>
                <c:pt idx="159">
                  <c:v>1.020981182455863</c:v>
                </c:pt>
                <c:pt idx="160">
                  <c:v>1.0191978054628366</c:v>
                </c:pt>
                <c:pt idx="161">
                  <c:v>1.0177576066616099</c:v>
                </c:pt>
                <c:pt idx="162">
                  <c:v>1.0165717123068818</c:v>
                </c:pt>
                <c:pt idx="163">
                  <c:v>1.0155793834306153</c:v>
                </c:pt>
                <c:pt idx="164">
                  <c:v>1.0147377106838555</c:v>
                </c:pt>
                <c:pt idx="165">
                  <c:v>1.0140155280377492</c:v>
                </c:pt>
                <c:pt idx="166">
                  <c:v>1.013389659229361</c:v>
                </c:pt>
                <c:pt idx="167">
                  <c:v>1.0128425166309103</c:v>
                </c:pt>
                <c:pt idx="168">
                  <c:v>1.0119330033413427</c:v>
                </c:pt>
                <c:pt idx="169">
                  <c:v>1.011209200287297</c:v>
                </c:pt>
                <c:pt idx="170">
                  <c:v>1.0106209617410402</c:v>
                </c:pt>
                <c:pt idx="171">
                  <c:v>1.010134543009257</c:v>
                </c:pt>
                <c:pt idx="172">
                  <c:v>1.0097264257958944</c:v>
                </c:pt>
                <c:pt idx="173">
                  <c:v>1.0093797335003152</c:v>
                </c:pt>
                <c:pt idx="174">
                  <c:v>1.0090820527555655</c:v>
                </c:pt>
                <c:pt idx="175">
                  <c:v>1.0088240576844263</c:v>
                </c:pt>
                <c:pt idx="176">
                  <c:v>1.0084001670260578</c:v>
                </c:pt>
                <c:pt idx="177">
                  <c:v>1.0080676520502005</c:v>
                </c:pt>
                <c:pt idx="178">
                  <c:v>1.0078008706338515</c:v>
                </c:pt>
                <c:pt idx="179">
                  <c:v>1.0075828104528295</c:v>
                </c:pt>
                <c:pt idx="180">
                  <c:v>1.0074017671822921</c:v>
                </c:pt>
                <c:pt idx="181">
                  <c:v>1.0072494412626387</c:v>
                </c:pt>
                <c:pt idx="182">
                  <c:v>1.0071197950447222</c:v>
                </c:pt>
                <c:pt idx="183">
                  <c:v>1.0070083389665638</c:v>
                </c:pt>
                <c:pt idx="184">
                  <c:v>1.0068271675642719</c:v>
                </c:pt>
                <c:pt idx="185">
                  <c:v>1.0066868816721239</c:v>
                </c:pt>
                <c:pt idx="186">
                  <c:v>1.006575592094193</c:v>
                </c:pt>
                <c:pt idx="187">
                  <c:v>1.0064855251517431</c:v>
                </c:pt>
                <c:pt idx="188">
                  <c:v>1.0064114022250676</c:v>
                </c:pt>
                <c:pt idx="189">
                  <c:v>1.0063495242676919</c:v>
                </c:pt>
                <c:pt idx="190">
                  <c:v>1.00629722910902</c:v>
                </c:pt>
                <c:pt idx="191">
                  <c:v>1.0062525564825793</c:v>
                </c:pt>
                <c:pt idx="192">
                  <c:v>1.006180536429033</c:v>
                </c:pt>
                <c:pt idx="193">
                  <c:v>1.0061253084774289</c:v>
                </c:pt>
                <c:pt idx="194">
                  <c:v>1.0060818546020041</c:v>
                </c:pt>
                <c:pt idx="195">
                  <c:v>1.0060469343538516</c:v>
                </c:pt>
                <c:pt idx="196">
                  <c:v>1.0060183709915329</c:v>
                </c:pt>
                <c:pt idx="197">
                  <c:v>1.0059946535232553</c:v>
                </c:pt>
                <c:pt idx="198">
                  <c:v>1.0059747035705866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0D5-4F91-8657-35193EF46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42592"/>
        <c:axId val="157744128"/>
      </c:scatterChart>
      <c:valAx>
        <c:axId val="157742592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744128"/>
        <c:crosses val="autoZero"/>
        <c:crossBetween val="midCat"/>
      </c:valAx>
      <c:valAx>
        <c:axId val="157744128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742592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602090419170976"/>
          <c:y val="7.8091106290672452E-2"/>
          <c:w val="0.12071533957663572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967213114754092E-2"/>
          <c:y val="4.6511759946629573E-2"/>
          <c:w val="0.87183308494783907"/>
          <c:h val="0.8313977090460036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'2_Alexa-488-IgG'!$F$1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'2_Alexa-488-IgG'!$A$3:$A$235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'2_Alexa-488-IgG'!$F$3:$F$200</c:f>
              <c:numCache>
                <c:formatCode>General</c:formatCode>
                <c:ptCount val="198"/>
                <c:pt idx="0">
                  <c:v>-1.799351344175526E-2</c:v>
                </c:pt>
                <c:pt idx="1">
                  <c:v>3.0661926177559806E-3</c:v>
                </c:pt>
                <c:pt idx="2">
                  <c:v>-1.1153100509613267E-2</c:v>
                </c:pt>
                <c:pt idx="3">
                  <c:v>5.7604764740950554E-3</c:v>
                </c:pt>
                <c:pt idx="4">
                  <c:v>1.4549552712704195E-2</c:v>
                </c:pt>
                <c:pt idx="5">
                  <c:v>-1.3331294807929606E-2</c:v>
                </c:pt>
                <c:pt idx="6">
                  <c:v>5.8754939969305475E-3</c:v>
                </c:pt>
                <c:pt idx="7">
                  <c:v>3.7136446594576711E-4</c:v>
                </c:pt>
                <c:pt idx="8">
                  <c:v>4.8324333576907907E-3</c:v>
                </c:pt>
                <c:pt idx="9">
                  <c:v>-8.9898260598284541E-3</c:v>
                </c:pt>
                <c:pt idx="10">
                  <c:v>1.8201299915743263E-4</c:v>
                </c:pt>
                <c:pt idx="11">
                  <c:v>-5.0281489101731136E-3</c:v>
                </c:pt>
                <c:pt idx="12">
                  <c:v>2.6051590024867011E-4</c:v>
                </c:pt>
                <c:pt idx="13">
                  <c:v>-7.0038426735685722E-3</c:v>
                </c:pt>
                <c:pt idx="14">
                  <c:v>-2.2354082469793202E-3</c:v>
                </c:pt>
                <c:pt idx="15">
                  <c:v>8.13199117856378E-4</c:v>
                </c:pt>
                <c:pt idx="16">
                  <c:v>-5.3433257968455994E-3</c:v>
                </c:pt>
                <c:pt idx="17">
                  <c:v>5.5236176260247127E-3</c:v>
                </c:pt>
                <c:pt idx="18">
                  <c:v>4.9661241647505072E-3</c:v>
                </c:pt>
                <c:pt idx="19">
                  <c:v>1.4413754192097228E-2</c:v>
                </c:pt>
                <c:pt idx="20">
                  <c:v>6.8665495508510865E-3</c:v>
                </c:pt>
                <c:pt idx="21">
                  <c:v>1.7673237862236846E-3</c:v>
                </c:pt>
                <c:pt idx="22">
                  <c:v>9.934013305163969E-4</c:v>
                </c:pt>
                <c:pt idx="23">
                  <c:v>2.3109250739556941E-3</c:v>
                </c:pt>
                <c:pt idx="24">
                  <c:v>4.4707703377160346E-3</c:v>
                </c:pt>
                <c:pt idx="25">
                  <c:v>6.0442557912294692E-3</c:v>
                </c:pt>
                <c:pt idx="26">
                  <c:v>-6.4791007110986953E-5</c:v>
                </c:pt>
                <c:pt idx="27">
                  <c:v>4.3973707876550083E-3</c:v>
                </c:pt>
                <c:pt idx="28">
                  <c:v>7.2186652494254933E-3</c:v>
                </c:pt>
                <c:pt idx="29">
                  <c:v>3.8366205661954922E-4</c:v>
                </c:pt>
                <c:pt idx="30">
                  <c:v>4.9499648640050076E-4</c:v>
                </c:pt>
                <c:pt idx="31">
                  <c:v>-8.3788606977930336E-4</c:v>
                </c:pt>
                <c:pt idx="32">
                  <c:v>-5.8402529743273313E-4</c:v>
                </c:pt>
                <c:pt idx="33">
                  <c:v>7.9856051579718645E-4</c:v>
                </c:pt>
                <c:pt idx="34">
                  <c:v>2.8405310346137913E-3</c:v>
                </c:pt>
                <c:pt idx="35">
                  <c:v>1.1721062669645121E-3</c:v>
                </c:pt>
                <c:pt idx="36">
                  <c:v>-5.3663999171149612E-4</c:v>
                </c:pt>
                <c:pt idx="37">
                  <c:v>-1.1756825718876041E-3</c:v>
                </c:pt>
                <c:pt idx="38">
                  <c:v>1.8949875230547253E-3</c:v>
                </c:pt>
                <c:pt idx="39">
                  <c:v>5.5478411520537563E-5</c:v>
                </c:pt>
                <c:pt idx="40">
                  <c:v>-1.7851535287394249E-3</c:v>
                </c:pt>
                <c:pt idx="41">
                  <c:v>-1.3569001880855414E-3</c:v>
                </c:pt>
                <c:pt idx="42">
                  <c:v>-1.0097541294367129E-3</c:v>
                </c:pt>
                <c:pt idx="43">
                  <c:v>-6.4370803331526005E-4</c:v>
                </c:pt>
                <c:pt idx="44">
                  <c:v>-2.788754636185109E-3</c:v>
                </c:pt>
                <c:pt idx="45">
                  <c:v>-1.4148867233507723E-3</c:v>
                </c:pt>
                <c:pt idx="46">
                  <c:v>-3.8820971278881178E-3</c:v>
                </c:pt>
                <c:pt idx="47">
                  <c:v>-2.4197244579342581E-3</c:v>
                </c:pt>
                <c:pt idx="48">
                  <c:v>-1.3515802326840021E-3</c:v>
                </c:pt>
                <c:pt idx="49">
                  <c:v>-8.8760880141225407E-4</c:v>
                </c:pt>
                <c:pt idx="50">
                  <c:v>-4.877755246518678E-3</c:v>
                </c:pt>
                <c:pt idx="51">
                  <c:v>-5.1319653738686188E-3</c:v>
                </c:pt>
                <c:pt idx="52">
                  <c:v>-2.1801857032623939E-3</c:v>
                </c:pt>
                <c:pt idx="53">
                  <c:v>-2.6623634590290379E-3</c:v>
                </c:pt>
                <c:pt idx="54">
                  <c:v>-1.9084465607455137E-3</c:v>
                </c:pt>
                <c:pt idx="55">
                  <c:v>-2.1721239017304939E-3</c:v>
                </c:pt>
                <c:pt idx="56">
                  <c:v>-2.3808146427095611E-3</c:v>
                </c:pt>
                <c:pt idx="57">
                  <c:v>-2.574126250328046E-3</c:v>
                </c:pt>
                <c:pt idx="58">
                  <c:v>-2.6916764652287206E-3</c:v>
                </c:pt>
                <c:pt idx="59">
                  <c:v>-4.0930930331253279E-3</c:v>
                </c:pt>
                <c:pt idx="60">
                  <c:v>-2.1380134429171971E-3</c:v>
                </c:pt>
                <c:pt idx="61">
                  <c:v>-2.9360846716557365E-3</c:v>
                </c:pt>
                <c:pt idx="62">
                  <c:v>-1.5769629361914728E-3</c:v>
                </c:pt>
                <c:pt idx="63">
                  <c:v>-1.395810194251057E-3</c:v>
                </c:pt>
                <c:pt idx="64">
                  <c:v>-2.8819807143496412E-3</c:v>
                </c:pt>
                <c:pt idx="65">
                  <c:v>-2.4430329958462504E-3</c:v>
                </c:pt>
                <c:pt idx="66">
                  <c:v>-8.7665166863803989E-4</c:v>
                </c:pt>
                <c:pt idx="67">
                  <c:v>-6.9064097663362745E-4</c:v>
                </c:pt>
                <c:pt idx="68">
                  <c:v>-1.2629185979147195E-3</c:v>
                </c:pt>
                <c:pt idx="69">
                  <c:v>-2.2915097841973431E-3</c:v>
                </c:pt>
                <c:pt idx="70">
                  <c:v>-1.845418030883561E-4</c:v>
                </c:pt>
                <c:pt idx="71">
                  <c:v>-4.6691613735982962E-4</c:v>
                </c:pt>
                <c:pt idx="72">
                  <c:v>3.0309352695057079E-4</c:v>
                </c:pt>
                <c:pt idx="73">
                  <c:v>7.6730026898119696E-4</c:v>
                </c:pt>
                <c:pt idx="74">
                  <c:v>1.6463281946437203E-3</c:v>
                </c:pt>
                <c:pt idx="75">
                  <c:v>1.9897321161619352E-3</c:v>
                </c:pt>
                <c:pt idx="76">
                  <c:v>2.506105184355123E-3</c:v>
                </c:pt>
                <c:pt idx="77">
                  <c:v>3.7431756864276799E-3</c:v>
                </c:pt>
                <c:pt idx="78">
                  <c:v>3.5378940999450936E-3</c:v>
                </c:pt>
                <c:pt idx="79">
                  <c:v>4.194649388735483E-3</c:v>
                </c:pt>
                <c:pt idx="80">
                  <c:v>4.3692029838757751E-3</c:v>
                </c:pt>
                <c:pt idx="81">
                  <c:v>4.2561995028886912E-3</c:v>
                </c:pt>
                <c:pt idx="82">
                  <c:v>3.8036614636323129E-3</c:v>
                </c:pt>
                <c:pt idx="83">
                  <c:v>4.8542552560293384E-3</c:v>
                </c:pt>
                <c:pt idx="84">
                  <c:v>3.806315082610201E-3</c:v>
                </c:pt>
                <c:pt idx="85">
                  <c:v>4.0646711418064196E-3</c:v>
                </c:pt>
                <c:pt idx="86">
                  <c:v>4.2513194804481014E-3</c:v>
                </c:pt>
                <c:pt idx="87">
                  <c:v>4.0764536025807985E-3</c:v>
                </c:pt>
                <c:pt idx="88">
                  <c:v>3.1891561069345986E-3</c:v>
                </c:pt>
                <c:pt idx="89">
                  <c:v>3.3370163881756287E-3</c:v>
                </c:pt>
                <c:pt idx="90">
                  <c:v>2.4746378725271079E-3</c:v>
                </c:pt>
                <c:pt idx="91">
                  <c:v>2.7181280695469656E-3</c:v>
                </c:pt>
                <c:pt idx="92">
                  <c:v>2.6680360457915775E-3</c:v>
                </c:pt>
                <c:pt idx="93">
                  <c:v>1.9912741911034537E-3</c:v>
                </c:pt>
                <c:pt idx="94">
                  <c:v>1.5923754961675307E-3</c:v>
                </c:pt>
                <c:pt idx="95">
                  <c:v>1.0290534875700974E-3</c:v>
                </c:pt>
                <c:pt idx="96">
                  <c:v>7.7164569708609854E-4</c:v>
                </c:pt>
                <c:pt idx="97">
                  <c:v>-9.3903905447056957E-5</c:v>
                </c:pt>
                <c:pt idx="98">
                  <c:v>-4.449212067767494E-4</c:v>
                </c:pt>
                <c:pt idx="99">
                  <c:v>-8.1013472113888874E-4</c:v>
                </c:pt>
                <c:pt idx="100">
                  <c:v>-1.1188761934850522E-3</c:v>
                </c:pt>
                <c:pt idx="101">
                  <c:v>-1.7507383092372208E-3</c:v>
                </c:pt>
                <c:pt idx="102">
                  <c:v>-2.0454280853159368E-3</c:v>
                </c:pt>
                <c:pt idx="103">
                  <c:v>-2.332349191652261E-3</c:v>
                </c:pt>
                <c:pt idx="104">
                  <c:v>-3.1979388073335446E-3</c:v>
                </c:pt>
                <c:pt idx="105">
                  <c:v>-3.3306469382168302E-3</c:v>
                </c:pt>
                <c:pt idx="106">
                  <c:v>-3.4690025204169306E-3</c:v>
                </c:pt>
                <c:pt idx="107">
                  <c:v>-3.8415976304690957E-3</c:v>
                </c:pt>
                <c:pt idx="108">
                  <c:v>-4.0870821208767172E-3</c:v>
                </c:pt>
                <c:pt idx="109">
                  <c:v>-4.1541603160772933E-3</c:v>
                </c:pt>
                <c:pt idx="110">
                  <c:v>-4.4615882247052152E-3</c:v>
                </c:pt>
                <c:pt idx="111">
                  <c:v>-4.5827604140078471E-3</c:v>
                </c:pt>
                <c:pt idx="112">
                  <c:v>-4.6515868840024677E-3</c:v>
                </c:pt>
                <c:pt idx="113">
                  <c:v>-4.649733994332772E-3</c:v>
                </c:pt>
                <c:pt idx="114">
                  <c:v>-4.5794836538628481E-3</c:v>
                </c:pt>
                <c:pt idx="115">
                  <c:v>-4.2636775180711073E-3</c:v>
                </c:pt>
                <c:pt idx="116">
                  <c:v>-4.1256671489098284E-3</c:v>
                </c:pt>
                <c:pt idx="117">
                  <c:v>-3.9592694068437684E-3</c:v>
                </c:pt>
                <c:pt idx="118">
                  <c:v>-3.7587264452665359E-3</c:v>
                </c:pt>
                <c:pt idx="119">
                  <c:v>-3.3940878404279395E-3</c:v>
                </c:pt>
                <c:pt idx="120">
                  <c:v>-2.892914811502667E-3</c:v>
                </c:pt>
                <c:pt idx="121">
                  <c:v>-2.3512137355254925E-3</c:v>
                </c:pt>
                <c:pt idx="122">
                  <c:v>-1.8791018270809534E-3</c:v>
                </c:pt>
                <c:pt idx="123">
                  <c:v>-1.3502039711197344E-3</c:v>
                </c:pt>
                <c:pt idx="124">
                  <c:v>-9.8115272858589897E-4</c:v>
                </c:pt>
                <c:pt idx="125">
                  <c:v>-4.6117149635582777E-4</c:v>
                </c:pt>
                <c:pt idx="126">
                  <c:v>-5.1725122298229564E-5</c:v>
                </c:pt>
                <c:pt idx="127">
                  <c:v>5.3021719615253815E-4</c:v>
                </c:pt>
                <c:pt idx="128">
                  <c:v>1.0782427896183222E-3</c:v>
                </c:pt>
                <c:pt idx="129">
                  <c:v>1.6448289704555918E-3</c:v>
                </c:pt>
                <c:pt idx="130">
                  <c:v>2.1860407289091555E-3</c:v>
                </c:pt>
                <c:pt idx="131">
                  <c:v>2.4350169979445724E-3</c:v>
                </c:pt>
                <c:pt idx="132">
                  <c:v>2.8346044802154413E-3</c:v>
                </c:pt>
                <c:pt idx="133">
                  <c:v>2.9893726864873571E-3</c:v>
                </c:pt>
                <c:pt idx="134">
                  <c:v>3.0571734016744401E-3</c:v>
                </c:pt>
                <c:pt idx="135">
                  <c:v>2.9967526092422592E-3</c:v>
                </c:pt>
                <c:pt idx="136">
                  <c:v>3.1822097352622869E-3</c:v>
                </c:pt>
                <c:pt idx="137">
                  <c:v>3.2710594431977214E-3</c:v>
                </c:pt>
                <c:pt idx="138">
                  <c:v>3.1843317390354287E-3</c:v>
                </c:pt>
                <c:pt idx="139">
                  <c:v>2.8265572278383111E-3</c:v>
                </c:pt>
                <c:pt idx="140">
                  <c:v>2.7426431955854813E-3</c:v>
                </c:pt>
                <c:pt idx="141">
                  <c:v>2.8527142706991082E-3</c:v>
                </c:pt>
                <c:pt idx="142">
                  <c:v>2.785587549035462E-3</c:v>
                </c:pt>
                <c:pt idx="143">
                  <c:v>2.7830497400145315E-3</c:v>
                </c:pt>
                <c:pt idx="144">
                  <c:v>2.6609760017455297E-3</c:v>
                </c:pt>
                <c:pt idx="145">
                  <c:v>2.4031567832092371E-3</c:v>
                </c:pt>
                <c:pt idx="146">
                  <c:v>2.1158792435020946E-3</c:v>
                </c:pt>
                <c:pt idx="147">
                  <c:v>2.0631190191386928E-3</c:v>
                </c:pt>
                <c:pt idx="148">
                  <c:v>1.7162524207130492E-3</c:v>
                </c:pt>
                <c:pt idx="149">
                  <c:v>1.5204641531694207E-3</c:v>
                </c:pt>
                <c:pt idx="150">
                  <c:v>1.4790918684277621E-3</c:v>
                </c:pt>
                <c:pt idx="151">
                  <c:v>9.3093492987983417E-4</c:v>
                </c:pt>
                <c:pt idx="152">
                  <c:v>6.9642438125017136E-4</c:v>
                </c:pt>
                <c:pt idx="153">
                  <c:v>8.6373131265671255E-4</c:v>
                </c:pt>
                <c:pt idx="154">
                  <c:v>1.279513025729706E-3</c:v>
                </c:pt>
                <c:pt idx="155">
                  <c:v>1.0434116646504954E-3</c:v>
                </c:pt>
                <c:pt idx="156">
                  <c:v>1.1687346424871237E-4</c:v>
                </c:pt>
                <c:pt idx="157">
                  <c:v>-7.4127496744491594E-4</c:v>
                </c:pt>
                <c:pt idx="158">
                  <c:v>-1.3811824558629393E-3</c:v>
                </c:pt>
                <c:pt idx="159">
                  <c:v>-1.4778054628366011E-3</c:v>
                </c:pt>
                <c:pt idx="160">
                  <c:v>-1.3376066616097582E-3</c:v>
                </c:pt>
                <c:pt idx="161">
                  <c:v>-1.8417123068819041E-3</c:v>
                </c:pt>
                <c:pt idx="162">
                  <c:v>-2.2693834306153349E-3</c:v>
                </c:pt>
                <c:pt idx="163">
                  <c:v>-1.8677106838556057E-3</c:v>
                </c:pt>
                <c:pt idx="164">
                  <c:v>-1.3355280377491674E-3</c:v>
                </c:pt>
                <c:pt idx="165">
                  <c:v>-5.2965922936087928E-4</c:v>
                </c:pt>
                <c:pt idx="166">
                  <c:v>-5.9251663091020035E-4</c:v>
                </c:pt>
                <c:pt idx="167">
                  <c:v>1.1699665865716469E-4</c:v>
                </c:pt>
                <c:pt idx="168">
                  <c:v>3.6079971270308597E-4</c:v>
                </c:pt>
                <c:pt idx="169">
                  <c:v>5.8903825895972872E-4</c:v>
                </c:pt>
                <c:pt idx="170">
                  <c:v>1.3954569907430603E-3</c:v>
                </c:pt>
                <c:pt idx="171">
                  <c:v>7.1357420410556038E-4</c:v>
                </c:pt>
                <c:pt idx="172">
                  <c:v>-1.5973350031517342E-4</c:v>
                </c:pt>
                <c:pt idx="173">
                  <c:v>7.5794724443456474E-4</c:v>
                </c:pt>
                <c:pt idx="174">
                  <c:v>2.259423155737128E-4</c:v>
                </c:pt>
                <c:pt idx="175">
                  <c:v>4.9832973942232073E-5</c:v>
                </c:pt>
                <c:pt idx="176">
                  <c:v>-1.0176520502005459E-3</c:v>
                </c:pt>
                <c:pt idx="177">
                  <c:v>-1.8608706338514303E-3</c:v>
                </c:pt>
                <c:pt idx="178">
                  <c:v>-1.0528104528295668E-3</c:v>
                </c:pt>
                <c:pt idx="179">
                  <c:v>1.2823281770790729E-4</c:v>
                </c:pt>
                <c:pt idx="180">
                  <c:v>-1.1294412626388084E-3</c:v>
                </c:pt>
                <c:pt idx="181">
                  <c:v>-1.7897950447220978E-3</c:v>
                </c:pt>
                <c:pt idx="182">
                  <c:v>-1.9383389665639239E-3</c:v>
                </c:pt>
                <c:pt idx="183">
                  <c:v>-3.4571675642718347E-3</c:v>
                </c:pt>
                <c:pt idx="184">
                  <c:v>-2.6568816721239674E-3</c:v>
                </c:pt>
                <c:pt idx="185">
                  <c:v>-1.2655920941930798E-3</c:v>
                </c:pt>
                <c:pt idx="186">
                  <c:v>-2.565525151743131E-3</c:v>
                </c:pt>
                <c:pt idx="187">
                  <c:v>-1.7214022250675587E-3</c:v>
                </c:pt>
                <c:pt idx="188">
                  <c:v>-2.0995242676917769E-3</c:v>
                </c:pt>
                <c:pt idx="189">
                  <c:v>-1.627229109020023E-3</c:v>
                </c:pt>
                <c:pt idx="190">
                  <c:v>-1.8625564825793806E-3</c:v>
                </c:pt>
                <c:pt idx="191">
                  <c:v>-1.3605364290329991E-3</c:v>
                </c:pt>
                <c:pt idx="192">
                  <c:v>-7.4530847742892981E-4</c:v>
                </c:pt>
                <c:pt idx="193">
                  <c:v>-1.9418546020040228E-3</c:v>
                </c:pt>
                <c:pt idx="194">
                  <c:v>-1.6969343538515425E-3</c:v>
                </c:pt>
                <c:pt idx="195">
                  <c:v>-2.4083709915330154E-3</c:v>
                </c:pt>
                <c:pt idx="196">
                  <c:v>-1.8546535232553119E-3</c:v>
                </c:pt>
                <c:pt idx="197">
                  <c:v>-2.4247035705866615E-3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9A-42C2-9649-FC09DE2B9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37632"/>
        <c:axId val="157643520"/>
      </c:scatterChart>
      <c:valAx>
        <c:axId val="157637632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643520"/>
        <c:crosses val="autoZero"/>
        <c:crossBetween val="midCat"/>
      </c:valAx>
      <c:valAx>
        <c:axId val="15764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637632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2622948019071583"/>
          <c:y val="0.12209302325581395"/>
          <c:w val="0.12071533957663572"/>
          <c:h val="9.883720930232559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7138029196501499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'1_Alexa488-IgG + Rh110'!$B$1</c:f>
              <c:strCache>
                <c:ptCount val="1"/>
                <c:pt idx="0">
                  <c:v>mixunknown1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'1_Alexa488-IgG + Rh110'!$A$2:$A$252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'1_Alexa488-IgG + Rh110'!$B$2:$B$252</c:f>
              <c:numCache>
                <c:formatCode>General</c:formatCode>
                <c:ptCount val="251"/>
                <c:pt idx="0">
                  <c:v>1.3143499999999999</c:v>
                </c:pt>
                <c:pt idx="1">
                  <c:v>1.3788800000000001</c:v>
                </c:pt>
                <c:pt idx="2">
                  <c:v>1.4070199999999999</c:v>
                </c:pt>
                <c:pt idx="3">
                  <c:v>1.41204</c:v>
                </c:pt>
                <c:pt idx="4">
                  <c:v>1.4376800000000001</c:v>
                </c:pt>
                <c:pt idx="5">
                  <c:v>1.42405</c:v>
                </c:pt>
                <c:pt idx="6">
                  <c:v>1.42746</c:v>
                </c:pt>
                <c:pt idx="7">
                  <c:v>1.4174199999999999</c:v>
                </c:pt>
                <c:pt idx="8">
                  <c:v>1.41581</c:v>
                </c:pt>
                <c:pt idx="9">
                  <c:v>1.44987</c:v>
                </c:pt>
                <c:pt idx="10">
                  <c:v>1.4346300000000001</c:v>
                </c:pt>
                <c:pt idx="11">
                  <c:v>1.3982399999999999</c:v>
                </c:pt>
                <c:pt idx="12">
                  <c:v>1.4063099999999999</c:v>
                </c:pt>
                <c:pt idx="13">
                  <c:v>1.4310499999999999</c:v>
                </c:pt>
                <c:pt idx="14">
                  <c:v>1.4261999999999999</c:v>
                </c:pt>
                <c:pt idx="15">
                  <c:v>1.40846</c:v>
                </c:pt>
                <c:pt idx="16">
                  <c:v>1.4219900000000001</c:v>
                </c:pt>
                <c:pt idx="17">
                  <c:v>1.42638</c:v>
                </c:pt>
                <c:pt idx="18">
                  <c:v>1.4157200000000001</c:v>
                </c:pt>
                <c:pt idx="19">
                  <c:v>1.41903</c:v>
                </c:pt>
                <c:pt idx="20">
                  <c:v>1.4149099999999999</c:v>
                </c:pt>
                <c:pt idx="21">
                  <c:v>1.40595</c:v>
                </c:pt>
                <c:pt idx="22">
                  <c:v>1.40012</c:v>
                </c:pt>
                <c:pt idx="23">
                  <c:v>1.4111499999999999</c:v>
                </c:pt>
                <c:pt idx="24">
                  <c:v>1.42638</c:v>
                </c:pt>
                <c:pt idx="25">
                  <c:v>1.41747</c:v>
                </c:pt>
                <c:pt idx="26">
                  <c:v>1.4151400000000001</c:v>
                </c:pt>
                <c:pt idx="27">
                  <c:v>1.40985</c:v>
                </c:pt>
                <c:pt idx="28">
                  <c:v>1.41276</c:v>
                </c:pt>
                <c:pt idx="29">
                  <c:v>1.4050499999999999</c:v>
                </c:pt>
                <c:pt idx="30">
                  <c:v>1.4235199999999999</c:v>
                </c:pt>
                <c:pt idx="31">
                  <c:v>1.41852</c:v>
                </c:pt>
                <c:pt idx="32">
                  <c:v>1.4175599999999999</c:v>
                </c:pt>
                <c:pt idx="33">
                  <c:v>1.41455</c:v>
                </c:pt>
                <c:pt idx="34">
                  <c:v>1.41605</c:v>
                </c:pt>
                <c:pt idx="35">
                  <c:v>1.4190799999999999</c:v>
                </c:pt>
                <c:pt idx="36">
                  <c:v>1.40622</c:v>
                </c:pt>
                <c:pt idx="37">
                  <c:v>1.4102300000000001</c:v>
                </c:pt>
                <c:pt idx="38">
                  <c:v>1.4204000000000001</c:v>
                </c:pt>
                <c:pt idx="39">
                  <c:v>1.41479</c:v>
                </c:pt>
                <c:pt idx="40">
                  <c:v>1.40903</c:v>
                </c:pt>
                <c:pt idx="41">
                  <c:v>1.41171</c:v>
                </c:pt>
                <c:pt idx="42">
                  <c:v>1.41492</c:v>
                </c:pt>
                <c:pt idx="43">
                  <c:v>1.40551</c:v>
                </c:pt>
                <c:pt idx="44">
                  <c:v>1.40584</c:v>
                </c:pt>
                <c:pt idx="45">
                  <c:v>1.40831</c:v>
                </c:pt>
                <c:pt idx="46">
                  <c:v>1.41116</c:v>
                </c:pt>
                <c:pt idx="47">
                  <c:v>1.40604</c:v>
                </c:pt>
                <c:pt idx="48">
                  <c:v>1.4097900000000001</c:v>
                </c:pt>
                <c:pt idx="49">
                  <c:v>1.4075</c:v>
                </c:pt>
                <c:pt idx="50">
                  <c:v>1.4063099999999999</c:v>
                </c:pt>
                <c:pt idx="51">
                  <c:v>1.40621</c:v>
                </c:pt>
                <c:pt idx="52">
                  <c:v>1.40178</c:v>
                </c:pt>
                <c:pt idx="53">
                  <c:v>1.4016</c:v>
                </c:pt>
                <c:pt idx="54">
                  <c:v>1.40158</c:v>
                </c:pt>
                <c:pt idx="55">
                  <c:v>1.4025700000000001</c:v>
                </c:pt>
                <c:pt idx="56">
                  <c:v>1.39994</c:v>
                </c:pt>
                <c:pt idx="57">
                  <c:v>1.39958</c:v>
                </c:pt>
                <c:pt idx="58">
                  <c:v>1.3971899999999999</c:v>
                </c:pt>
                <c:pt idx="59">
                  <c:v>1.3940699999999999</c:v>
                </c:pt>
                <c:pt idx="60">
                  <c:v>1.3976599999999999</c:v>
                </c:pt>
                <c:pt idx="61">
                  <c:v>1.3972899999999999</c:v>
                </c:pt>
                <c:pt idx="62">
                  <c:v>1.39683</c:v>
                </c:pt>
                <c:pt idx="63">
                  <c:v>1.3950199999999999</c:v>
                </c:pt>
                <c:pt idx="64">
                  <c:v>1.3920999999999999</c:v>
                </c:pt>
                <c:pt idx="65">
                  <c:v>1.3945099999999999</c:v>
                </c:pt>
                <c:pt idx="66">
                  <c:v>1.39419</c:v>
                </c:pt>
                <c:pt idx="67">
                  <c:v>1.38957</c:v>
                </c:pt>
                <c:pt idx="68">
                  <c:v>1.3858900000000001</c:v>
                </c:pt>
                <c:pt idx="69">
                  <c:v>1.3856999999999999</c:v>
                </c:pt>
                <c:pt idx="70">
                  <c:v>1.3856599999999999</c:v>
                </c:pt>
                <c:pt idx="71">
                  <c:v>1.38408</c:v>
                </c:pt>
                <c:pt idx="72">
                  <c:v>1.38483</c:v>
                </c:pt>
                <c:pt idx="73">
                  <c:v>1.38242</c:v>
                </c:pt>
                <c:pt idx="74">
                  <c:v>1.38104</c:v>
                </c:pt>
                <c:pt idx="75">
                  <c:v>1.3804099999999999</c:v>
                </c:pt>
                <c:pt idx="76">
                  <c:v>1.3788400000000001</c:v>
                </c:pt>
                <c:pt idx="77">
                  <c:v>1.3759699999999999</c:v>
                </c:pt>
                <c:pt idx="78">
                  <c:v>1.37473</c:v>
                </c:pt>
                <c:pt idx="79">
                  <c:v>1.3734500000000001</c:v>
                </c:pt>
                <c:pt idx="80">
                  <c:v>1.3710599999999999</c:v>
                </c:pt>
                <c:pt idx="81">
                  <c:v>1.3684499999999999</c:v>
                </c:pt>
                <c:pt idx="82">
                  <c:v>1.3655299999999999</c:v>
                </c:pt>
                <c:pt idx="83">
                  <c:v>1.3645799999999999</c:v>
                </c:pt>
                <c:pt idx="84">
                  <c:v>1.3621700000000001</c:v>
                </c:pt>
                <c:pt idx="85">
                  <c:v>1.35937</c:v>
                </c:pt>
                <c:pt idx="86">
                  <c:v>1.3578399999999999</c:v>
                </c:pt>
                <c:pt idx="87">
                  <c:v>1.3563000000000001</c:v>
                </c:pt>
                <c:pt idx="88">
                  <c:v>1.35246</c:v>
                </c:pt>
                <c:pt idx="89">
                  <c:v>1.3505499999999999</c:v>
                </c:pt>
                <c:pt idx="90">
                  <c:v>1.3467199999999999</c:v>
                </c:pt>
                <c:pt idx="91">
                  <c:v>1.3421700000000001</c:v>
                </c:pt>
                <c:pt idx="92">
                  <c:v>1.3385800000000001</c:v>
                </c:pt>
                <c:pt idx="93">
                  <c:v>1.3355300000000001</c:v>
                </c:pt>
                <c:pt idx="94">
                  <c:v>1.3323100000000001</c:v>
                </c:pt>
                <c:pt idx="95">
                  <c:v>1.32945</c:v>
                </c:pt>
                <c:pt idx="96">
                  <c:v>1.3243400000000001</c:v>
                </c:pt>
                <c:pt idx="97">
                  <c:v>1.31755</c:v>
                </c:pt>
                <c:pt idx="98">
                  <c:v>1.31352</c:v>
                </c:pt>
                <c:pt idx="99">
                  <c:v>1.30901</c:v>
                </c:pt>
                <c:pt idx="100">
                  <c:v>1.3036300000000001</c:v>
                </c:pt>
                <c:pt idx="101">
                  <c:v>1.2985500000000001</c:v>
                </c:pt>
                <c:pt idx="102">
                  <c:v>1.2945899999999999</c:v>
                </c:pt>
                <c:pt idx="103">
                  <c:v>1.29054</c:v>
                </c:pt>
                <c:pt idx="104">
                  <c:v>1.28335</c:v>
                </c:pt>
                <c:pt idx="105">
                  <c:v>1.2755099999999999</c:v>
                </c:pt>
                <c:pt idx="106">
                  <c:v>1.26874</c:v>
                </c:pt>
                <c:pt idx="107">
                  <c:v>1.26224</c:v>
                </c:pt>
                <c:pt idx="108">
                  <c:v>1.2564200000000001</c:v>
                </c:pt>
                <c:pt idx="109">
                  <c:v>1.2511300000000001</c:v>
                </c:pt>
                <c:pt idx="110">
                  <c:v>1.2464500000000001</c:v>
                </c:pt>
                <c:pt idx="111">
                  <c:v>1.24153</c:v>
                </c:pt>
                <c:pt idx="112">
                  <c:v>1.2323500000000001</c:v>
                </c:pt>
                <c:pt idx="113">
                  <c:v>1.22462</c:v>
                </c:pt>
                <c:pt idx="114">
                  <c:v>1.21716</c:v>
                </c:pt>
                <c:pt idx="115">
                  <c:v>1.2109399999999999</c:v>
                </c:pt>
                <c:pt idx="116">
                  <c:v>1.2044600000000001</c:v>
                </c:pt>
                <c:pt idx="117">
                  <c:v>1.1995100000000001</c:v>
                </c:pt>
                <c:pt idx="118">
                  <c:v>1.1939599999999999</c:v>
                </c:pt>
                <c:pt idx="119">
                  <c:v>1.1891400000000001</c:v>
                </c:pt>
                <c:pt idx="120">
                  <c:v>1.1803399999999999</c:v>
                </c:pt>
                <c:pt idx="121">
                  <c:v>1.17269</c:v>
                </c:pt>
                <c:pt idx="122">
                  <c:v>1.1660999999999999</c:v>
                </c:pt>
                <c:pt idx="123">
                  <c:v>1.1596200000000001</c:v>
                </c:pt>
                <c:pt idx="124">
                  <c:v>1.1536900000000001</c:v>
                </c:pt>
                <c:pt idx="125">
                  <c:v>1.14863</c:v>
                </c:pt>
                <c:pt idx="126">
                  <c:v>1.14374</c:v>
                </c:pt>
                <c:pt idx="127">
                  <c:v>1.13913</c:v>
                </c:pt>
                <c:pt idx="128">
                  <c:v>1.1306099999999999</c:v>
                </c:pt>
                <c:pt idx="129">
                  <c:v>1.1234500000000001</c:v>
                </c:pt>
                <c:pt idx="130">
                  <c:v>1.1168199999999999</c:v>
                </c:pt>
                <c:pt idx="131">
                  <c:v>1.11111</c:v>
                </c:pt>
                <c:pt idx="132">
                  <c:v>1.1064799999999999</c:v>
                </c:pt>
                <c:pt idx="133">
                  <c:v>1.10164</c:v>
                </c:pt>
                <c:pt idx="134">
                  <c:v>1.09751</c:v>
                </c:pt>
                <c:pt idx="135">
                  <c:v>1.0934699999999999</c:v>
                </c:pt>
                <c:pt idx="136">
                  <c:v>1.08565</c:v>
                </c:pt>
                <c:pt idx="137">
                  <c:v>1.07962</c:v>
                </c:pt>
                <c:pt idx="138">
                  <c:v>1.07439</c:v>
                </c:pt>
                <c:pt idx="139">
                  <c:v>1.0696099999999999</c:v>
                </c:pt>
                <c:pt idx="140">
                  <c:v>1.06481</c:v>
                </c:pt>
                <c:pt idx="141">
                  <c:v>1.06094</c:v>
                </c:pt>
                <c:pt idx="142">
                  <c:v>1.05816</c:v>
                </c:pt>
                <c:pt idx="143">
                  <c:v>1.0545800000000001</c:v>
                </c:pt>
                <c:pt idx="144">
                  <c:v>1.0489200000000001</c:v>
                </c:pt>
                <c:pt idx="145">
                  <c:v>1.0450200000000001</c:v>
                </c:pt>
                <c:pt idx="146">
                  <c:v>1.0419099999999999</c:v>
                </c:pt>
                <c:pt idx="147">
                  <c:v>1.0387299999999999</c:v>
                </c:pt>
                <c:pt idx="148">
                  <c:v>1.03634</c:v>
                </c:pt>
                <c:pt idx="149">
                  <c:v>1.0343</c:v>
                </c:pt>
                <c:pt idx="150">
                  <c:v>1.03268</c:v>
                </c:pt>
                <c:pt idx="151">
                  <c:v>1.0305899999999999</c:v>
                </c:pt>
                <c:pt idx="152">
                  <c:v>1.0265899999999999</c:v>
                </c:pt>
                <c:pt idx="153">
                  <c:v>1.0240499999999999</c:v>
                </c:pt>
                <c:pt idx="154">
                  <c:v>1.02183</c:v>
                </c:pt>
                <c:pt idx="155">
                  <c:v>1.01912</c:v>
                </c:pt>
                <c:pt idx="156">
                  <c:v>1.0164800000000001</c:v>
                </c:pt>
                <c:pt idx="157">
                  <c:v>1.0147900000000001</c:v>
                </c:pt>
                <c:pt idx="158">
                  <c:v>1.0138</c:v>
                </c:pt>
                <c:pt idx="159">
                  <c:v>1.01247</c:v>
                </c:pt>
                <c:pt idx="160">
                  <c:v>1.01146</c:v>
                </c:pt>
                <c:pt idx="161">
                  <c:v>1.0115799999999999</c:v>
                </c:pt>
                <c:pt idx="162">
                  <c:v>1.01051</c:v>
                </c:pt>
                <c:pt idx="163">
                  <c:v>1.0085999999999999</c:v>
                </c:pt>
                <c:pt idx="164">
                  <c:v>1.0078499999999999</c:v>
                </c:pt>
                <c:pt idx="165">
                  <c:v>1.0077</c:v>
                </c:pt>
                <c:pt idx="166">
                  <c:v>1.00709</c:v>
                </c:pt>
                <c:pt idx="167">
                  <c:v>1.0066900000000001</c:v>
                </c:pt>
                <c:pt idx="168">
                  <c:v>1.0048699999999999</c:v>
                </c:pt>
                <c:pt idx="169">
                  <c:v>1.00423</c:v>
                </c:pt>
                <c:pt idx="170">
                  <c:v>1.0028900000000001</c:v>
                </c:pt>
                <c:pt idx="171">
                  <c:v>1.00248</c:v>
                </c:pt>
                <c:pt idx="172">
                  <c:v>1.0039100000000001</c:v>
                </c:pt>
                <c:pt idx="173">
                  <c:v>1.00393</c:v>
                </c:pt>
                <c:pt idx="174">
                  <c:v>1.0027699999999999</c:v>
                </c:pt>
                <c:pt idx="175">
                  <c:v>1.0024900000000001</c:v>
                </c:pt>
                <c:pt idx="176">
                  <c:v>1.00298</c:v>
                </c:pt>
                <c:pt idx="177">
                  <c:v>1.0040800000000001</c:v>
                </c:pt>
                <c:pt idx="178">
                  <c:v>1.0026200000000001</c:v>
                </c:pt>
                <c:pt idx="179">
                  <c:v>1.0023899999999999</c:v>
                </c:pt>
                <c:pt idx="180">
                  <c:v>1.00139</c:v>
                </c:pt>
                <c:pt idx="181">
                  <c:v>1.0021800000000001</c:v>
                </c:pt>
                <c:pt idx="182">
                  <c:v>1.00203</c:v>
                </c:pt>
                <c:pt idx="183">
                  <c:v>1.0015799999999999</c:v>
                </c:pt>
                <c:pt idx="184">
                  <c:v>1.0018499999999999</c:v>
                </c:pt>
                <c:pt idx="185">
                  <c:v>1.0022200000000001</c:v>
                </c:pt>
                <c:pt idx="186">
                  <c:v>1.0012000000000001</c:v>
                </c:pt>
                <c:pt idx="187">
                  <c:v>1.0021</c:v>
                </c:pt>
                <c:pt idx="188">
                  <c:v>1.0020199999999999</c:v>
                </c:pt>
                <c:pt idx="189">
                  <c:v>1.0008999999999999</c:v>
                </c:pt>
                <c:pt idx="190">
                  <c:v>1.0008300000000001</c:v>
                </c:pt>
                <c:pt idx="191">
                  <c:v>1.0012700000000001</c:v>
                </c:pt>
                <c:pt idx="192">
                  <c:v>1.0013099999999999</c:v>
                </c:pt>
                <c:pt idx="193">
                  <c:v>0.99981100000000001</c:v>
                </c:pt>
                <c:pt idx="194">
                  <c:v>1.0006600000000001</c:v>
                </c:pt>
                <c:pt idx="195">
                  <c:v>1.00115</c:v>
                </c:pt>
                <c:pt idx="196">
                  <c:v>1.0001199999999999</c:v>
                </c:pt>
                <c:pt idx="197">
                  <c:v>1.00034</c:v>
                </c:pt>
                <c:pt idx="198">
                  <c:v>1.0001500000000001</c:v>
                </c:pt>
                <c:pt idx="199">
                  <c:v>0.999471</c:v>
                </c:pt>
                <c:pt idx="200">
                  <c:v>0.99986699999999995</c:v>
                </c:pt>
                <c:pt idx="201">
                  <c:v>1.00021</c:v>
                </c:pt>
                <c:pt idx="202">
                  <c:v>1.0008600000000001</c:v>
                </c:pt>
                <c:pt idx="203">
                  <c:v>1.00051</c:v>
                </c:pt>
                <c:pt idx="204">
                  <c:v>1.0000800000000001</c:v>
                </c:pt>
                <c:pt idx="205">
                  <c:v>1.0005999999999999</c:v>
                </c:pt>
                <c:pt idx="206">
                  <c:v>0.99967600000000001</c:v>
                </c:pt>
                <c:pt idx="207">
                  <c:v>0.99908699999999995</c:v>
                </c:pt>
                <c:pt idx="208">
                  <c:v>0.99967200000000001</c:v>
                </c:pt>
                <c:pt idx="209">
                  <c:v>0.99942299999999995</c:v>
                </c:pt>
                <c:pt idx="210">
                  <c:v>0.99931000000000003</c:v>
                </c:pt>
                <c:pt idx="211">
                  <c:v>0.99965000000000004</c:v>
                </c:pt>
                <c:pt idx="212">
                  <c:v>1.00004</c:v>
                </c:pt>
                <c:pt idx="213">
                  <c:v>0.99951500000000004</c:v>
                </c:pt>
                <c:pt idx="214">
                  <c:v>0.99900199999999995</c:v>
                </c:pt>
                <c:pt idx="215">
                  <c:v>0.99815600000000004</c:v>
                </c:pt>
                <c:pt idx="216">
                  <c:v>0.99723600000000001</c:v>
                </c:pt>
                <c:pt idx="217">
                  <c:v>0.99862499999999998</c:v>
                </c:pt>
                <c:pt idx="218">
                  <c:v>0.99816899999999997</c:v>
                </c:pt>
                <c:pt idx="219">
                  <c:v>0.99888600000000005</c:v>
                </c:pt>
                <c:pt idx="220">
                  <c:v>0.99854399999999999</c:v>
                </c:pt>
                <c:pt idx="221">
                  <c:v>0.99812100000000004</c:v>
                </c:pt>
                <c:pt idx="222">
                  <c:v>0.99765599999999999</c:v>
                </c:pt>
                <c:pt idx="223">
                  <c:v>0.99826499999999996</c:v>
                </c:pt>
                <c:pt idx="224">
                  <c:v>0.99837799999999999</c:v>
                </c:pt>
                <c:pt idx="225">
                  <c:v>0.99890299999999999</c:v>
                </c:pt>
                <c:pt idx="226">
                  <c:v>0.99791300000000005</c:v>
                </c:pt>
                <c:pt idx="227">
                  <c:v>0.99755899999999997</c:v>
                </c:pt>
                <c:pt idx="228">
                  <c:v>0.99693500000000002</c:v>
                </c:pt>
                <c:pt idx="229">
                  <c:v>0.99749500000000002</c:v>
                </c:pt>
                <c:pt idx="230">
                  <c:v>0.99692700000000001</c:v>
                </c:pt>
                <c:pt idx="231">
                  <c:v>0.994892</c:v>
                </c:pt>
                <c:pt idx="232">
                  <c:v>0.99435499999999999</c:v>
                </c:pt>
                <c:pt idx="233">
                  <c:v>0.99401300000000004</c:v>
                </c:pt>
                <c:pt idx="234">
                  <c:v>0.99527399999999999</c:v>
                </c:pt>
                <c:pt idx="235">
                  <c:v>0.99525600000000003</c:v>
                </c:pt>
                <c:pt idx="236">
                  <c:v>0.99538499999999996</c:v>
                </c:pt>
                <c:pt idx="237">
                  <c:v>0.99522600000000006</c:v>
                </c:pt>
                <c:pt idx="238">
                  <c:v>0.99484399999999995</c:v>
                </c:pt>
                <c:pt idx="239">
                  <c:v>0.99307999999999996</c:v>
                </c:pt>
                <c:pt idx="240">
                  <c:v>0.99082999999999999</c:v>
                </c:pt>
                <c:pt idx="241">
                  <c:v>0.99104800000000004</c:v>
                </c:pt>
                <c:pt idx="242">
                  <c:v>0.98984000000000005</c:v>
                </c:pt>
                <c:pt idx="243">
                  <c:v>0.98759600000000003</c:v>
                </c:pt>
                <c:pt idx="244">
                  <c:v>0.989672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D7-4921-9C09-05EA8272A735}"/>
            </c:ext>
          </c:extLst>
        </c:ser>
        <c:ser>
          <c:idx val="1"/>
          <c:order val="1"/>
          <c:tx>
            <c:strRef>
              <c:f>'1_Alexa488-IgG + Rh110'!$E$1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'1_Alexa488-IgG + Rh110'!$A$3:$A$252</c:f>
              <c:numCache>
                <c:formatCode>General</c:formatCode>
                <c:ptCount val="250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'1_Alexa488-IgG + Rh110'!$E$3:$E$200</c:f>
              <c:numCache>
                <c:formatCode>General</c:formatCode>
                <c:ptCount val="198"/>
                <c:pt idx="0">
                  <c:v>1.4289784303686897</c:v>
                </c:pt>
                <c:pt idx="1">
                  <c:v>1.4278004251323022</c:v>
                </c:pt>
                <c:pt idx="2">
                  <c:v>1.4267219732956939</c:v>
                </c:pt>
                <c:pt idx="3">
                  <c:v>1.4257344274228525</c:v>
                </c:pt>
                <c:pt idx="4">
                  <c:v>1.424829891455325</c:v>
                </c:pt>
                <c:pt idx="5">
                  <c:v>1.4240011554245764</c:v>
                </c:pt>
                <c:pt idx="6">
                  <c:v>1.4232416358372288</c:v>
                </c:pt>
                <c:pt idx="7">
                  <c:v>1.4225453212402634</c:v>
                </c:pt>
                <c:pt idx="8">
                  <c:v>1.4219067225160948</c:v>
                </c:pt>
                <c:pt idx="9">
                  <c:v>1.4213208274965368</c:v>
                </c:pt>
                <c:pt idx="10">
                  <c:v>1.4207830595203876</c:v>
                </c:pt>
                <c:pt idx="11">
                  <c:v>1.4202892395919706</c:v>
                </c:pt>
                <c:pt idx="12">
                  <c:v>1.4198355518277439</c:v>
                </c:pt>
                <c:pt idx="13">
                  <c:v>1.4194185119052742</c:v>
                </c:pt>
                <c:pt idx="14">
                  <c:v>1.4190349382536966</c:v>
                </c:pt>
                <c:pt idx="15">
                  <c:v>1.4183568216858089</c:v>
                </c:pt>
                <c:pt idx="16">
                  <c:v>1.4177808605231774</c:v>
                </c:pt>
                <c:pt idx="17">
                  <c:v>1.4172900945239353</c:v>
                </c:pt>
                <c:pt idx="18">
                  <c:v>1.4168703827179463</c:v>
                </c:pt>
                <c:pt idx="19">
                  <c:v>1.4165099347559615</c:v>
                </c:pt>
                <c:pt idx="20">
                  <c:v>1.4161989201631728</c:v>
                </c:pt>
                <c:pt idx="21">
                  <c:v>1.4159291425470282</c:v>
                </c:pt>
                <c:pt idx="22">
                  <c:v>1.4156937679618753</c:v>
                </c:pt>
                <c:pt idx="23">
                  <c:v>1.4153043830981809</c:v>
                </c:pt>
                <c:pt idx="24">
                  <c:v>1.4149956288433012</c:v>
                </c:pt>
                <c:pt idx="25">
                  <c:v>1.4147430784666004</c:v>
                </c:pt>
                <c:pt idx="26">
                  <c:v>1.4145297505145651</c:v>
                </c:pt>
                <c:pt idx="27">
                  <c:v>1.4143438392733769</c:v>
                </c:pt>
                <c:pt idx="28">
                  <c:v>1.414177137053662</c:v>
                </c:pt>
                <c:pt idx="29">
                  <c:v>1.4140239374095269</c:v>
                </c:pt>
                <c:pt idx="30">
                  <c:v>1.4138802726888746</c:v>
                </c:pt>
                <c:pt idx="31">
                  <c:v>1.4136113527533332</c:v>
                </c:pt>
                <c:pt idx="32">
                  <c:v>1.4133569309150147</c:v>
                </c:pt>
                <c:pt idx="33">
                  <c:v>1.413110499766991</c:v>
                </c:pt>
                <c:pt idx="34">
                  <c:v>1.4128689053084145</c:v>
                </c:pt>
                <c:pt idx="35">
                  <c:v>1.41263061419886</c:v>
                </c:pt>
                <c:pt idx="36">
                  <c:v>1.4123948763874812</c:v>
                </c:pt>
                <c:pt idx="37">
                  <c:v>1.4121613204427339</c:v>
                </c:pt>
                <c:pt idx="38">
                  <c:v>1.4119297579898218</c:v>
                </c:pt>
                <c:pt idx="39">
                  <c:v>1.4114722571270852</c:v>
                </c:pt>
                <c:pt idx="40">
                  <c:v>1.4110219686493406</c:v>
                </c:pt>
                <c:pt idx="41">
                  <c:v>1.410578696689754</c:v>
                </c:pt>
                <c:pt idx="42">
                  <c:v>1.4101422961569892</c:v>
                </c:pt>
                <c:pt idx="43">
                  <c:v>1.4097126356813559</c:v>
                </c:pt>
                <c:pt idx="44">
                  <c:v>1.4092895889262</c:v>
                </c:pt>
                <c:pt idx="45">
                  <c:v>1.4088730325244296</c:v>
                </c:pt>
                <c:pt idx="46">
                  <c:v>1.4084628455629369</c:v>
                </c:pt>
                <c:pt idx="47">
                  <c:v>1.4076611077427694</c:v>
                </c:pt>
                <c:pt idx="48">
                  <c:v>1.4068834530713432</c:v>
                </c:pt>
                <c:pt idx="49">
                  <c:v>1.4061289934463681</c:v>
                </c:pt>
                <c:pt idx="50">
                  <c:v>1.4053968737661153</c:v>
                </c:pt>
                <c:pt idx="51">
                  <c:v>1.4046862707015206</c:v>
                </c:pt>
                <c:pt idx="52">
                  <c:v>1.4039963915148079</c:v>
                </c:pt>
                <c:pt idx="53">
                  <c:v>1.4033264729220938</c:v>
                </c:pt>
                <c:pt idx="54">
                  <c:v>1.4026757799982985</c:v>
                </c:pt>
                <c:pt idx="55">
                  <c:v>1.4014292669641903</c:v>
                </c:pt>
                <c:pt idx="56">
                  <c:v>1.4002515010907843</c:v>
                </c:pt>
                <c:pt idx="57">
                  <c:v>1.3991375212698818</c:v>
                </c:pt>
                <c:pt idx="58">
                  <c:v>1.3980827281317956</c:v>
                </c:pt>
                <c:pt idx="59">
                  <c:v>1.3970828576488608</c:v>
                </c:pt>
                <c:pt idx="60">
                  <c:v>1.3961339566656836</c:v>
                </c:pt>
                <c:pt idx="61">
                  <c:v>1.3952323602154553</c:v>
                </c:pt>
                <c:pt idx="62">
                  <c:v>1.3943746704919293</c:v>
                </c:pt>
                <c:pt idx="63">
                  <c:v>1.3927786402661408</c:v>
                </c:pt>
                <c:pt idx="64">
                  <c:v>1.391323320751741</c:v>
                </c:pt>
                <c:pt idx="65">
                  <c:v>1.3899893328438964</c:v>
                </c:pt>
                <c:pt idx="66">
                  <c:v>1.3887600184401909</c:v>
                </c:pt>
                <c:pt idx="67">
                  <c:v>1.3876210579106059</c:v>
                </c:pt>
                <c:pt idx="68">
                  <c:v>1.3865601413612334</c:v>
                </c:pt>
                <c:pt idx="69">
                  <c:v>1.3855666861251084</c:v>
                </c:pt>
                <c:pt idx="70">
                  <c:v>1.38463159397811</c:v>
                </c:pt>
                <c:pt idx="71">
                  <c:v>1.3829063057279132</c:v>
                </c:pt>
                <c:pt idx="72">
                  <c:v>1.3813339521020942</c:v>
                </c:pt>
                <c:pt idx="73">
                  <c:v>1.3798773172320395</c:v>
                </c:pt>
                <c:pt idx="74">
                  <c:v>1.3785088687514213</c:v>
                </c:pt>
                <c:pt idx="75">
                  <c:v>1.3772082279661528</c:v>
                </c:pt>
                <c:pt idx="76">
                  <c:v>1.3759603012559158</c:v>
                </c:pt>
                <c:pt idx="77">
                  <c:v>1.3747538998418802</c:v>
                </c:pt>
                <c:pt idx="78">
                  <c:v>1.3735807202561454</c:v>
                </c:pt>
                <c:pt idx="79">
                  <c:v>1.3713109173509705</c:v>
                </c:pt>
                <c:pt idx="80">
                  <c:v>1.3691180742328906</c:v>
                </c:pt>
                <c:pt idx="81">
                  <c:v>1.366983794690062</c:v>
                </c:pt>
                <c:pt idx="82">
                  <c:v>1.364897572542922</c:v>
                </c:pt>
                <c:pt idx="83">
                  <c:v>1.362853225819963</c:v>
                </c:pt>
                <c:pt idx="84">
                  <c:v>1.360846949689472</c:v>
                </c:pt>
                <c:pt idx="85">
                  <c:v>1.3588762528835119</c:v>
                </c:pt>
                <c:pt idx="86">
                  <c:v>1.3569393763759159</c:v>
                </c:pt>
                <c:pt idx="87">
                  <c:v>1.3531619448392662</c:v>
                </c:pt>
                <c:pt idx="88">
                  <c:v>1.3495062435553487</c:v>
                </c:pt>
                <c:pt idx="89">
                  <c:v>1.3459655175547569</c:v>
                </c:pt>
                <c:pt idx="90">
                  <c:v>1.342533794769641</c:v>
                </c:pt>
                <c:pt idx="91">
                  <c:v>1.3392056012685241</c:v>
                </c:pt>
                <c:pt idx="92">
                  <c:v>1.3359758545113141</c:v>
                </c:pt>
                <c:pt idx="93">
                  <c:v>1.332839811829668</c:v>
                </c:pt>
                <c:pt idx="94">
                  <c:v>1.329793037267937</c:v>
                </c:pt>
                <c:pt idx="95">
                  <c:v>1.3239509298478795</c:v>
                </c:pt>
                <c:pt idx="96">
                  <c:v>1.3184192724407218</c:v>
                </c:pt>
                <c:pt idx="97">
                  <c:v>1.3131713438091157</c:v>
                </c:pt>
                <c:pt idx="98">
                  <c:v>1.3081834569544855</c:v>
                </c:pt>
                <c:pt idx="99">
                  <c:v>1.3034345390789424</c:v>
                </c:pt>
                <c:pt idx="100">
                  <c:v>1.2989057795117764</c:v>
                </c:pt>
                <c:pt idx="101">
                  <c:v>1.2945803330758712</c:v>
                </c:pt>
                <c:pt idx="102">
                  <c:v>1.2904430689658732</c:v>
                </c:pt>
                <c:pt idx="103">
                  <c:v>1.2826798862027999</c:v>
                </c:pt>
                <c:pt idx="104">
                  <c:v>1.2755220958780407</c:v>
                </c:pt>
                <c:pt idx="105">
                  <c:v>1.2688921481948714</c:v>
                </c:pt>
                <c:pt idx="106">
                  <c:v>1.2627255624660554</c:v>
                </c:pt>
                <c:pt idx="107">
                  <c:v>1.2569682698185325</c:v>
                </c:pt>
                <c:pt idx="108">
                  <c:v>1.2515745796810445</c:v>
                </c:pt>
                <c:pt idx="109">
                  <c:v>1.246505605609888</c:v>
                </c:pt>
                <c:pt idx="110">
                  <c:v>1.241728033757451</c:v>
                </c:pt>
                <c:pt idx="111">
                  <c:v>1.2329360643664664</c:v>
                </c:pt>
                <c:pt idx="112">
                  <c:v>1.2250112273457987</c:v>
                </c:pt>
                <c:pt idx="113">
                  <c:v>1.2178099636490389</c:v>
                </c:pt>
                <c:pt idx="114">
                  <c:v>1.2112203167395958</c:v>
                </c:pt>
                <c:pt idx="115">
                  <c:v>1.2051535695288209</c:v>
                </c:pt>
                <c:pt idx="116">
                  <c:v>1.1995384140159808</c:v>
                </c:pt>
                <c:pt idx="117">
                  <c:v>1.1943168007525511</c:v>
                </c:pt>
                <c:pt idx="118">
                  <c:v>1.1894409285336147</c:v>
                </c:pt>
                <c:pt idx="119">
                  <c:v>1.1805736802789899</c:v>
                </c:pt>
                <c:pt idx="120">
                  <c:v>1.1726875918519502</c:v>
                </c:pt>
                <c:pt idx="121">
                  <c:v>1.1656014711668659</c:v>
                </c:pt>
                <c:pt idx="122">
                  <c:v>1.1591796990274532</c:v>
                </c:pt>
                <c:pt idx="123">
                  <c:v>1.1533182709035525</c:v>
                </c:pt>
                <c:pt idx="124">
                  <c:v>1.1479357422573462</c:v>
                </c:pt>
                <c:pt idx="125">
                  <c:v>1.142967167714394</c:v>
                </c:pt>
                <c:pt idx="126">
                  <c:v>1.1383599315394874</c:v>
                </c:pt>
                <c:pt idx="127">
                  <c:v>1.1300638510488983</c:v>
                </c:pt>
                <c:pt idx="128">
                  <c:v>1.1227800813831257</c:v>
                </c:pt>
                <c:pt idx="129">
                  <c:v>1.1163164765448661</c:v>
                </c:pt>
                <c:pt idx="130">
                  <c:v>1.1105301904209148</c:v>
                </c:pt>
                <c:pt idx="131">
                  <c:v>1.1053120494047659</c:v>
                </c:pt>
                <c:pt idx="132">
                  <c:v>1.1005766913394426</c:v>
                </c:pt>
                <c:pt idx="133">
                  <c:v>1.0962560890858004</c:v>
                </c:pt>
                <c:pt idx="134">
                  <c:v>1.0922951499750368</c:v>
                </c:pt>
                <c:pt idx="135">
                  <c:v>1.0852789622198258</c:v>
                </c:pt>
                <c:pt idx="136">
                  <c:v>1.0792486982016216</c:v>
                </c:pt>
                <c:pt idx="137">
                  <c:v>1.0740043697380621</c:v>
                </c:pt>
                <c:pt idx="138">
                  <c:v>1.0693982341778723</c:v>
                </c:pt>
                <c:pt idx="139">
                  <c:v>1.0653183249365221</c:v>
                </c:pt>
                <c:pt idx="140">
                  <c:v>1.0616779840738444</c:v>
                </c:pt>
                <c:pt idx="141">
                  <c:v>1.0584089438408415</c:v>
                </c:pt>
                <c:pt idx="142">
                  <c:v>1.0554566035333237</c:v>
                </c:pt>
                <c:pt idx="143">
                  <c:v>1.0503330096934902</c:v>
                </c:pt>
                <c:pt idx="144">
                  <c:v>1.0460389142534294</c:v>
                </c:pt>
                <c:pt idx="145">
                  <c:v>1.0423875314408795</c:v>
                </c:pt>
                <c:pt idx="146">
                  <c:v>1.0392445691794772</c:v>
                </c:pt>
                <c:pt idx="147">
                  <c:v>1.0365108803097562</c:v>
                </c:pt>
                <c:pt idx="148">
                  <c:v>1.0341116111343551</c:v>
                </c:pt>
                <c:pt idx="149">
                  <c:v>1.0319891581790428</c:v>
                </c:pt>
                <c:pt idx="150">
                  <c:v>1.0300984520926908</c:v>
                </c:pt>
                <c:pt idx="151">
                  <c:v>1.0268761753846183</c:v>
                </c:pt>
                <c:pt idx="152">
                  <c:v>1.0242332607762632</c:v>
                </c:pt>
                <c:pt idx="153">
                  <c:v>1.0220274259404072</c:v>
                </c:pt>
                <c:pt idx="154">
                  <c:v>1.0201594148061086</c:v>
                </c:pt>
                <c:pt idx="155">
                  <c:v>1.0185578693127102</c:v>
                </c:pt>
                <c:pt idx="156">
                  <c:v>1.0171701701173725</c:v>
                </c:pt>
                <c:pt idx="157">
                  <c:v>1.0159566655415213</c:v>
                </c:pt>
                <c:pt idx="158">
                  <c:v>1.0148869103137852</c:v>
                </c:pt>
                <c:pt idx="159">
                  <c:v>1.013088543744737</c:v>
                </c:pt>
                <c:pt idx="160">
                  <c:v>1.0116373361466531</c:v>
                </c:pt>
                <c:pt idx="161">
                  <c:v>1.0104430395438193</c:v>
                </c:pt>
                <c:pt idx="162">
                  <c:v>1.0094440727671938</c:v>
                </c:pt>
                <c:pt idx="163">
                  <c:v>1.0085969913752348</c:v>
                </c:pt>
                <c:pt idx="164">
                  <c:v>1.0078702790702347</c:v>
                </c:pt>
                <c:pt idx="165">
                  <c:v>1.007240524417633</c:v>
                </c:pt>
                <c:pt idx="166">
                  <c:v>1.0066899783747778</c:v>
                </c:pt>
                <c:pt idx="167">
                  <c:v>1.0057746859505323</c:v>
                </c:pt>
                <c:pt idx="168">
                  <c:v>1.0050460416354654</c:v>
                </c:pt>
                <c:pt idx="169">
                  <c:v>1.0044535924312583</c:v>
                </c:pt>
                <c:pt idx="170">
                  <c:v>1.0039634184815465</c:v>
                </c:pt>
                <c:pt idx="171">
                  <c:v>1.0035518957444767</c:v>
                </c:pt>
                <c:pt idx="172">
                  <c:v>1.0032020800620485</c:v>
                </c:pt>
                <c:pt idx="173">
                  <c:v>1.0029015124216314</c:v>
                </c:pt>
                <c:pt idx="174">
                  <c:v>1.0026408343927558</c:v>
                </c:pt>
                <c:pt idx="175">
                  <c:v>1.0022120972895168</c:v>
                </c:pt>
                <c:pt idx="176">
                  <c:v>1.0018753178360982</c:v>
                </c:pt>
                <c:pt idx="177">
                  <c:v>1.0016047560651564</c:v>
                </c:pt>
                <c:pt idx="178">
                  <c:v>1.0013833257433011</c:v>
                </c:pt>
                <c:pt idx="179">
                  <c:v>1.0011992638404585</c:v>
                </c:pt>
                <c:pt idx="180">
                  <c:v>1.0010442228272514</c:v>
                </c:pt>
                <c:pt idx="181">
                  <c:v>1.0009121251965265</c:v>
                </c:pt>
                <c:pt idx="182">
                  <c:v>1.0007984479122736</c:v>
                </c:pt>
                <c:pt idx="183">
                  <c:v>1.0006134156253148</c:v>
                </c:pt>
                <c:pt idx="184">
                  <c:v>1.0004699002970465</c:v>
                </c:pt>
                <c:pt idx="185">
                  <c:v>1.0003558797546639</c:v>
                </c:pt>
                <c:pt idx="186">
                  <c:v>1.000263480604024</c:v>
                </c:pt>
                <c:pt idx="187">
                  <c:v>1.0001873483357688</c:v>
                </c:pt>
                <c:pt idx="188">
                  <c:v>1.0001237253547244</c:v>
                </c:pt>
                <c:pt idx="189">
                  <c:v>1.0000699037480956</c:v>
                </c:pt>
                <c:pt idx="190">
                  <c:v>1.0000238870943923</c:v>
                </c:pt>
                <c:pt idx="191">
                  <c:v>0.99994961628144852</c:v>
                </c:pt>
                <c:pt idx="192">
                  <c:v>0.99989258593752839</c:v>
                </c:pt>
                <c:pt idx="193">
                  <c:v>0.99984766280469606</c:v>
                </c:pt>
                <c:pt idx="194">
                  <c:v>0.99981152650141314</c:v>
                </c:pt>
                <c:pt idx="195">
                  <c:v>0.99978194333741921</c:v>
                </c:pt>
                <c:pt idx="196">
                  <c:v>0.99975736079337607</c:v>
                </c:pt>
                <c:pt idx="197">
                  <c:v>0.99973666958622498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0D7-4921-9C09-05EA8272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07200"/>
        <c:axId val="157917184"/>
      </c:scatterChart>
      <c:valAx>
        <c:axId val="157907200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917184"/>
        <c:crosses val="autoZero"/>
        <c:crossBetween val="midCat"/>
      </c:valAx>
      <c:valAx>
        <c:axId val="157917184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7907200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737162359209599"/>
          <c:y val="8.4598698481561818E-2"/>
          <c:w val="0.12235652975810463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291505102647665E-2"/>
          <c:y val="5.1400592469800922E-2"/>
          <c:w val="0.86936619327417908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'1_Alexa488-IgG + Rh110'!$F$1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'1_Alexa488-IgG + Rh110'!$A$3:$A$235</c:f>
              <c:numCache>
                <c:formatCode>General</c:formatCode>
                <c:ptCount val="233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</c:numCache>
            </c:numRef>
          </c:xVal>
          <c:yVal>
            <c:numRef>
              <c:f>'1_Alexa488-IgG + Rh110'!$F$3:$F$190</c:f>
              <c:numCache>
                <c:formatCode>General</c:formatCode>
                <c:ptCount val="188"/>
                <c:pt idx="0">
                  <c:v>-5.009843036868955E-2</c:v>
                </c:pt>
                <c:pt idx="1">
                  <c:v>-2.0780425132302272E-2</c:v>
                </c:pt>
                <c:pt idx="2">
                  <c:v>-1.4681973295693984E-2</c:v>
                </c:pt>
                <c:pt idx="3">
                  <c:v>1.1945572577147567E-2</c:v>
                </c:pt>
                <c:pt idx="4">
                  <c:v>-7.7989145532497695E-4</c:v>
                </c:pt>
                <c:pt idx="5">
                  <c:v>3.4588445754235586E-3</c:v>
                </c:pt>
                <c:pt idx="6">
                  <c:v>-5.8216358372289445E-3</c:v>
                </c:pt>
                <c:pt idx="7">
                  <c:v>-6.7353212402634366E-3</c:v>
                </c:pt>
                <c:pt idx="8">
                  <c:v>2.7963277483905147E-2</c:v>
                </c:pt>
                <c:pt idx="9">
                  <c:v>1.3309172503463307E-2</c:v>
                </c:pt>
                <c:pt idx="10">
                  <c:v>-2.2543059520387709E-2</c:v>
                </c:pt>
                <c:pt idx="11">
                  <c:v>-1.3979239591970671E-2</c:v>
                </c:pt>
                <c:pt idx="12">
                  <c:v>1.1214448172256031E-2</c:v>
                </c:pt>
                <c:pt idx="13">
                  <c:v>6.7814880947256739E-3</c:v>
                </c:pt>
                <c:pt idx="14">
                  <c:v>-1.0574938253696597E-2</c:v>
                </c:pt>
                <c:pt idx="15">
                  <c:v>3.6331783141911878E-3</c:v>
                </c:pt>
                <c:pt idx="16">
                  <c:v>8.5991394768225593E-3</c:v>
                </c:pt>
                <c:pt idx="17">
                  <c:v>-1.5700945239351949E-3</c:v>
                </c:pt>
                <c:pt idx="18">
                  <c:v>2.1596172820537163E-3</c:v>
                </c:pt>
                <c:pt idx="19">
                  <c:v>-1.5999347559616517E-3</c:v>
                </c:pt>
                <c:pt idx="20">
                  <c:v>-1.0248920163172803E-2</c:v>
                </c:pt>
                <c:pt idx="21">
                  <c:v>-1.5809142547028143E-2</c:v>
                </c:pt>
                <c:pt idx="22">
                  <c:v>-4.543767961875389E-3</c:v>
                </c:pt>
                <c:pt idx="23">
                  <c:v>1.107561690181913E-2</c:v>
                </c:pt>
                <c:pt idx="24">
                  <c:v>2.4743711566987958E-3</c:v>
                </c:pt>
                <c:pt idx="25">
                  <c:v>3.969215333996523E-4</c:v>
                </c:pt>
                <c:pt idx="26">
                  <c:v>-4.6797505145650398E-3</c:v>
                </c:pt>
                <c:pt idx="27">
                  <c:v>-1.583839273376908E-3</c:v>
                </c:pt>
                <c:pt idx="28">
                  <c:v>-9.1271370536620822E-3</c:v>
                </c:pt>
                <c:pt idx="29">
                  <c:v>9.4960625904729756E-3</c:v>
                </c:pt>
                <c:pt idx="30">
                  <c:v>4.6397273111253856E-3</c:v>
                </c:pt>
                <c:pt idx="31">
                  <c:v>3.9486472466667699E-3</c:v>
                </c:pt>
                <c:pt idx="32">
                  <c:v>1.1930690849852876E-3</c:v>
                </c:pt>
                <c:pt idx="33">
                  <c:v>2.9395002330090403E-3</c:v>
                </c:pt>
                <c:pt idx="34">
                  <c:v>6.2110946915854282E-3</c:v>
                </c:pt>
                <c:pt idx="35">
                  <c:v>-6.4106141988600207E-3</c:v>
                </c:pt>
                <c:pt idx="36">
                  <c:v>-2.164876387481085E-3</c:v>
                </c:pt>
                <c:pt idx="37">
                  <c:v>8.2386795572662042E-3</c:v>
                </c:pt>
                <c:pt idx="38">
                  <c:v>2.8602420101782045E-3</c:v>
                </c:pt>
                <c:pt idx="39">
                  <c:v>-2.4422571270852345E-3</c:v>
                </c:pt>
                <c:pt idx="40">
                  <c:v>6.8803135065942378E-4</c:v>
                </c:pt>
                <c:pt idx="41">
                  <c:v>4.3413033102459586E-3</c:v>
                </c:pt>
                <c:pt idx="42">
                  <c:v>-4.6322961569891241E-3</c:v>
                </c:pt>
                <c:pt idx="43">
                  <c:v>-3.8726356813558738E-3</c:v>
                </c:pt>
                <c:pt idx="44">
                  <c:v>-9.795889262000923E-4</c:v>
                </c:pt>
                <c:pt idx="45">
                  <c:v>2.286967475570334E-3</c:v>
                </c:pt>
                <c:pt idx="46">
                  <c:v>-2.4228455629369261E-3</c:v>
                </c:pt>
                <c:pt idx="47">
                  <c:v>2.1288922572306745E-3</c:v>
                </c:pt>
                <c:pt idx="48">
                  <c:v>6.165469286567582E-4</c:v>
                </c:pt>
                <c:pt idx="49">
                  <c:v>1.8100655363184615E-4</c:v>
                </c:pt>
                <c:pt idx="50">
                  <c:v>8.1312623388463123E-4</c:v>
                </c:pt>
                <c:pt idx="51">
                  <c:v>-2.906270701520608E-3</c:v>
                </c:pt>
                <c:pt idx="52">
                  <c:v>-2.3963915148079717E-3</c:v>
                </c:pt>
                <c:pt idx="53">
                  <c:v>-1.7464729220937336E-3</c:v>
                </c:pt>
                <c:pt idx="54">
                  <c:v>-1.0577999829841644E-4</c:v>
                </c:pt>
                <c:pt idx="55">
                  <c:v>-1.4892669641903833E-3</c:v>
                </c:pt>
                <c:pt idx="56">
                  <c:v>-6.7150109078428777E-4</c:v>
                </c:pt>
                <c:pt idx="57">
                  <c:v>-1.9475212698818467E-3</c:v>
                </c:pt>
                <c:pt idx="58">
                  <c:v>-4.0127281317956509E-3</c:v>
                </c:pt>
                <c:pt idx="59">
                  <c:v>5.7714235113914825E-4</c:v>
                </c:pt>
                <c:pt idx="60">
                  <c:v>1.1560433343162924E-3</c:v>
                </c:pt>
                <c:pt idx="61">
                  <c:v>1.5976397845447465E-3</c:v>
                </c:pt>
                <c:pt idx="62">
                  <c:v>6.453295080706134E-4</c:v>
                </c:pt>
                <c:pt idx="63">
                  <c:v>-6.7864026614095074E-4</c:v>
                </c:pt>
                <c:pt idx="64">
                  <c:v>3.1866792482588835E-3</c:v>
                </c:pt>
                <c:pt idx="65">
                  <c:v>4.2006671561036768E-3</c:v>
                </c:pt>
                <c:pt idx="66">
                  <c:v>8.0998155980904762E-4</c:v>
                </c:pt>
                <c:pt idx="67">
                  <c:v>-1.7310579106057933E-3</c:v>
                </c:pt>
                <c:pt idx="68">
                  <c:v>-8.6014136123346852E-4</c:v>
                </c:pt>
                <c:pt idx="69">
                  <c:v>9.3313874891531867E-5</c:v>
                </c:pt>
                <c:pt idx="70">
                  <c:v>-5.5159397810999877E-4</c:v>
                </c:pt>
                <c:pt idx="71">
                  <c:v>1.9236942720868289E-3</c:v>
                </c:pt>
                <c:pt idx="72">
                  <c:v>1.0860478979057842E-3</c:v>
                </c:pt>
                <c:pt idx="73">
                  <c:v>1.162682767960499E-3</c:v>
                </c:pt>
                <c:pt idx="74">
                  <c:v>1.9011312485786025E-3</c:v>
                </c:pt>
                <c:pt idx="75">
                  <c:v>1.6317720338472341E-3</c:v>
                </c:pt>
                <c:pt idx="76">
                  <c:v>9.698744084074562E-6</c:v>
                </c:pt>
                <c:pt idx="77">
                  <c:v>-2.3899841880226091E-5</c:v>
                </c:pt>
                <c:pt idx="78">
                  <c:v>-1.3072025614535576E-4</c:v>
                </c:pt>
                <c:pt idx="79">
                  <c:v>-2.5091735097060308E-4</c:v>
                </c:pt>
                <c:pt idx="80">
                  <c:v>-6.6807423289061418E-4</c:v>
                </c:pt>
                <c:pt idx="81">
                  <c:v>-1.4537946900621268E-3</c:v>
                </c:pt>
                <c:pt idx="82">
                  <c:v>-3.1757254292208437E-4</c:v>
                </c:pt>
                <c:pt idx="83">
                  <c:v>-6.8322581996294041E-4</c:v>
                </c:pt>
                <c:pt idx="84">
                  <c:v>-1.4769496894719847E-3</c:v>
                </c:pt>
                <c:pt idx="85">
                  <c:v>-1.0362528835119456E-3</c:v>
                </c:pt>
                <c:pt idx="86">
                  <c:v>-6.393763759158233E-4</c:v>
                </c:pt>
                <c:pt idx="87">
                  <c:v>-7.0194483926622198E-4</c:v>
                </c:pt>
                <c:pt idx="88">
                  <c:v>1.043756444651267E-3</c:v>
                </c:pt>
                <c:pt idx="89">
                  <c:v>7.5448244524300989E-4</c:v>
                </c:pt>
                <c:pt idx="90">
                  <c:v>-3.6379476964087942E-4</c:v>
                </c:pt>
                <c:pt idx="91">
                  <c:v>-6.2560126852395648E-4</c:v>
                </c:pt>
                <c:pt idx="92">
                  <c:v>-4.4585451131395892E-4</c:v>
                </c:pt>
                <c:pt idx="93">
                  <c:v>-5.2981182966793661E-4</c:v>
                </c:pt>
                <c:pt idx="94">
                  <c:v>-3.4303726793694089E-4</c:v>
                </c:pt>
                <c:pt idx="95">
                  <c:v>3.8907015212052976E-4</c:v>
                </c:pt>
                <c:pt idx="96">
                  <c:v>-8.692724407217689E-4</c:v>
                </c:pt>
                <c:pt idx="97">
                  <c:v>3.486561908843111E-4</c:v>
                </c:pt>
                <c:pt idx="98">
                  <c:v>8.2654304551454949E-4</c:v>
                </c:pt>
                <c:pt idx="99">
                  <c:v>1.9546092105771073E-4</c:v>
                </c:pt>
                <c:pt idx="100">
                  <c:v>-3.5577951177634404E-4</c:v>
                </c:pt>
                <c:pt idx="101">
                  <c:v>9.6669241287372643E-6</c:v>
                </c:pt>
                <c:pt idx="102">
                  <c:v>9.6931034126779281E-5</c:v>
                </c:pt>
                <c:pt idx="103">
                  <c:v>6.7011379720005593E-4</c:v>
                </c:pt>
                <c:pt idx="104">
                  <c:v>-1.2095878040740971E-5</c:v>
                </c:pt>
                <c:pt idx="105">
                  <c:v>-1.521481948714154E-4</c:v>
                </c:pt>
                <c:pt idx="106">
                  <c:v>-4.8556246605535591E-4</c:v>
                </c:pt>
                <c:pt idx="107">
                  <c:v>-5.4826981853239865E-4</c:v>
                </c:pt>
                <c:pt idx="108">
                  <c:v>-4.4457968104438805E-4</c:v>
                </c:pt>
                <c:pt idx="109">
                  <c:v>-5.5605609887932061E-5</c:v>
                </c:pt>
                <c:pt idx="110">
                  <c:v>-1.9803375745097718E-4</c:v>
                </c:pt>
                <c:pt idx="111">
                  <c:v>-5.8606436646635451E-4</c:v>
                </c:pt>
                <c:pt idx="112">
                  <c:v>-3.9122734579866147E-4</c:v>
                </c:pt>
                <c:pt idx="113">
                  <c:v>-6.4996364903890935E-4</c:v>
                </c:pt>
                <c:pt idx="114">
                  <c:v>-2.8031673959594272E-4</c:v>
                </c:pt>
                <c:pt idx="115">
                  <c:v>-6.9356952882082545E-4</c:v>
                </c:pt>
                <c:pt idx="116">
                  <c:v>-2.8414015980748886E-5</c:v>
                </c:pt>
                <c:pt idx="117">
                  <c:v>-3.5680075255117849E-4</c:v>
                </c:pt>
                <c:pt idx="118">
                  <c:v>-3.0092853361463057E-4</c:v>
                </c:pt>
                <c:pt idx="119">
                  <c:v>-2.3368027898995614E-4</c:v>
                </c:pt>
                <c:pt idx="120">
                  <c:v>2.4081480498594487E-6</c:v>
                </c:pt>
                <c:pt idx="121">
                  <c:v>4.9852883313405982E-4</c:v>
                </c:pt>
                <c:pt idx="122">
                  <c:v>4.4030097254688094E-4</c:v>
                </c:pt>
                <c:pt idx="123">
                  <c:v>3.7172909644755947E-4</c:v>
                </c:pt>
                <c:pt idx="124">
                  <c:v>6.9425774265385876E-4</c:v>
                </c:pt>
                <c:pt idx="125">
                  <c:v>7.7283228560598438E-4</c:v>
                </c:pt>
                <c:pt idx="126">
                  <c:v>7.7006846051252964E-4</c:v>
                </c:pt>
                <c:pt idx="127">
                  <c:v>5.4614895110161044E-4</c:v>
                </c:pt>
                <c:pt idx="128">
                  <c:v>6.6991861687437648E-4</c:v>
                </c:pt>
                <c:pt idx="129">
                  <c:v>5.0352345513382524E-4</c:v>
                </c:pt>
                <c:pt idx="130">
                  <c:v>5.7980957908521091E-4</c:v>
                </c:pt>
                <c:pt idx="131">
                  <c:v>1.1679505952340019E-3</c:v>
                </c:pt>
                <c:pt idx="132">
                  <c:v>1.0633086605573716E-3</c:v>
                </c:pt>
                <c:pt idx="133">
                  <c:v>1.2539109141995741E-3</c:v>
                </c:pt>
                <c:pt idx="134">
                  <c:v>1.1748500249630922E-3</c:v>
                </c:pt>
                <c:pt idx="135">
                  <c:v>3.7103778017422151E-4</c:v>
                </c:pt>
                <c:pt idx="136">
                  <c:v>3.7130179837840949E-4</c:v>
                </c:pt>
                <c:pt idx="137">
                  <c:v>3.8563026193783045E-4</c:v>
                </c:pt>
                <c:pt idx="138">
                  <c:v>2.1176582212767414E-4</c:v>
                </c:pt>
                <c:pt idx="139">
                  <c:v>-5.0832493652208655E-4</c:v>
                </c:pt>
                <c:pt idx="140">
                  <c:v>-7.379840738443999E-4</c:v>
                </c:pt>
                <c:pt idx="141">
                  <c:v>-2.48943840841509E-4</c:v>
                </c:pt>
                <c:pt idx="142">
                  <c:v>-8.7660353332363883E-4</c:v>
                </c:pt>
                <c:pt idx="143">
                  <c:v>-1.4130096934901193E-3</c:v>
                </c:pt>
                <c:pt idx="144">
                  <c:v>-1.0189142534293705E-3</c:v>
                </c:pt>
                <c:pt idx="145">
                  <c:v>-4.775314408795861E-4</c:v>
                </c:pt>
                <c:pt idx="146">
                  <c:v>-5.1456917947723113E-4</c:v>
                </c:pt>
                <c:pt idx="147">
                  <c:v>-1.7088030975620505E-4</c:v>
                </c:pt>
                <c:pt idx="148">
                  <c:v>1.8838886564487289E-4</c:v>
                </c:pt>
                <c:pt idx="149">
                  <c:v>6.9084182095724422E-4</c:v>
                </c:pt>
                <c:pt idx="150">
                  <c:v>4.9154790730909781E-4</c:v>
                </c:pt>
                <c:pt idx="151">
                  <c:v>-2.8617538461839231E-4</c:v>
                </c:pt>
                <c:pt idx="152">
                  <c:v>-1.8326077626329429E-4</c:v>
                </c:pt>
                <c:pt idx="153">
                  <c:v>-1.9742594040716988E-4</c:v>
                </c:pt>
                <c:pt idx="154">
                  <c:v>-1.0394148061085851E-3</c:v>
                </c:pt>
                <c:pt idx="155">
                  <c:v>-2.0778693127101455E-3</c:v>
                </c:pt>
                <c:pt idx="156">
                  <c:v>-2.3801701173724599E-3</c:v>
                </c:pt>
                <c:pt idx="157">
                  <c:v>-2.1566655415212743E-3</c:v>
                </c:pt>
                <c:pt idx="158">
                  <c:v>-2.4169103137852144E-3</c:v>
                </c:pt>
                <c:pt idx="159">
                  <c:v>-1.6285437447369766E-3</c:v>
                </c:pt>
                <c:pt idx="160">
                  <c:v>-5.7336146653153008E-5</c:v>
                </c:pt>
                <c:pt idx="161">
                  <c:v>6.6960456180709116E-5</c:v>
                </c:pt>
                <c:pt idx="162">
                  <c:v>-8.4407276719389301E-4</c:v>
                </c:pt>
                <c:pt idx="163">
                  <c:v>-7.4699137523492887E-4</c:v>
                </c:pt>
                <c:pt idx="164">
                  <c:v>-1.7027907023470235E-4</c:v>
                </c:pt>
                <c:pt idx="165">
                  <c:v>-1.5052441763296898E-4</c:v>
                </c:pt>
                <c:pt idx="166">
                  <c:v>2.1625222279553213E-8</c:v>
                </c:pt>
                <c:pt idx="167">
                  <c:v>-9.046859505323912E-4</c:v>
                </c:pt>
                <c:pt idx="168">
                  <c:v>-8.1604163546544761E-4</c:v>
                </c:pt>
                <c:pt idx="169">
                  <c:v>-1.5635924312582539E-3</c:v>
                </c:pt>
                <c:pt idx="170">
                  <c:v>-1.483418481546428E-3</c:v>
                </c:pt>
                <c:pt idx="171">
                  <c:v>3.5810425552340597E-4</c:v>
                </c:pt>
                <c:pt idx="172">
                  <c:v>7.2791993795151555E-4</c:v>
                </c:pt>
                <c:pt idx="173">
                  <c:v>-1.3151242163145227E-4</c:v>
                </c:pt>
                <c:pt idx="174">
                  <c:v>-1.5083439275564992E-4</c:v>
                </c:pt>
                <c:pt idx="175">
                  <c:v>7.6790271048321479E-4</c:v>
                </c:pt>
                <c:pt idx="176">
                  <c:v>2.2046821639019054E-3</c:v>
                </c:pt>
                <c:pt idx="177">
                  <c:v>1.0152439348436459E-3</c:v>
                </c:pt>
                <c:pt idx="178">
                  <c:v>1.0066742566987585E-3</c:v>
                </c:pt>
                <c:pt idx="179">
                  <c:v>1.9073615954146028E-4</c:v>
                </c:pt>
                <c:pt idx="180">
                  <c:v>1.1357771727487087E-3</c:v>
                </c:pt>
                <c:pt idx="181">
                  <c:v>1.1178748034734731E-3</c:v>
                </c:pt>
                <c:pt idx="182">
                  <c:v>7.8155208772634488E-4</c:v>
                </c:pt>
                <c:pt idx="183">
                  <c:v>1.2365843746851013E-3</c:v>
                </c:pt>
                <c:pt idx="184">
                  <c:v>1.7500997029535892E-3</c:v>
                </c:pt>
                <c:pt idx="185">
                  <c:v>8.4412024533619956E-4</c:v>
                </c:pt>
                <c:pt idx="186">
                  <c:v>1.8365193959759551E-3</c:v>
                </c:pt>
                <c:pt idx="187">
                  <c:v>1.8326516642310775E-3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161-42DC-93AC-9A2132A5D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30304"/>
        <c:axId val="159331840"/>
      </c:scatterChart>
      <c:valAx>
        <c:axId val="159330304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9331840"/>
        <c:crosses val="autoZero"/>
        <c:crossBetween val="midCat"/>
      </c:valAx>
      <c:valAx>
        <c:axId val="15933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9330304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1993962466403412"/>
          <c:y val="0.12280701754385964"/>
          <c:w val="0.12235652975810463"/>
          <c:h val="9.941520467836256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735209458334328"/>
          <c:h val="0.83261956838728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'2_Alexa488-IgG + Rh110'!$B$1</c:f>
              <c:strCache>
                <c:ptCount val="1"/>
                <c:pt idx="0">
                  <c:v>mixunknown2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4"/>
          </c:marker>
          <c:xVal>
            <c:numRef>
              <c:f>'2_Alexa488-IgG + Rh110'!$A$2:$A$252</c:f>
              <c:numCache>
                <c:formatCode>General</c:formatCode>
                <c:ptCount val="251"/>
                <c:pt idx="0">
                  <c:v>3.9999999999999998E-6</c:v>
                </c:pt>
                <c:pt idx="1">
                  <c:v>7.9999999999999996E-6</c:v>
                </c:pt>
                <c:pt idx="2">
                  <c:v>1.2E-5</c:v>
                </c:pt>
                <c:pt idx="3">
                  <c:v>1.5999999999999999E-5</c:v>
                </c:pt>
                <c:pt idx="4">
                  <c:v>2.0000000000000002E-5</c:v>
                </c:pt>
                <c:pt idx="5">
                  <c:v>2.4000000000000001E-5</c:v>
                </c:pt>
                <c:pt idx="6">
                  <c:v>2.8E-5</c:v>
                </c:pt>
                <c:pt idx="7">
                  <c:v>3.1999999999999999E-5</c:v>
                </c:pt>
                <c:pt idx="8">
                  <c:v>3.6000000000000001E-5</c:v>
                </c:pt>
                <c:pt idx="9">
                  <c:v>4.0000000000000003E-5</c:v>
                </c:pt>
                <c:pt idx="10">
                  <c:v>4.3999999999999999E-5</c:v>
                </c:pt>
                <c:pt idx="11">
                  <c:v>4.8000000000000001E-5</c:v>
                </c:pt>
                <c:pt idx="12">
                  <c:v>5.1999999999999997E-5</c:v>
                </c:pt>
                <c:pt idx="13">
                  <c:v>5.5999999999999999E-5</c:v>
                </c:pt>
                <c:pt idx="14">
                  <c:v>6.0000000000000002E-5</c:v>
                </c:pt>
                <c:pt idx="15">
                  <c:v>6.3999999999999997E-5</c:v>
                </c:pt>
                <c:pt idx="16">
                  <c:v>7.2000000000000002E-5</c:v>
                </c:pt>
                <c:pt idx="17">
                  <c:v>8.0000000000000007E-5</c:v>
                </c:pt>
                <c:pt idx="18">
                  <c:v>8.7999999999999998E-5</c:v>
                </c:pt>
                <c:pt idx="19">
                  <c:v>9.6000000000000002E-5</c:v>
                </c:pt>
                <c:pt idx="20">
                  <c:v>1.0399999999999999E-4</c:v>
                </c:pt>
                <c:pt idx="21">
                  <c:v>1.12E-4</c:v>
                </c:pt>
                <c:pt idx="22">
                  <c:v>1.2E-4</c:v>
                </c:pt>
                <c:pt idx="23">
                  <c:v>1.2799999999999999E-4</c:v>
                </c:pt>
                <c:pt idx="24">
                  <c:v>1.44E-4</c:v>
                </c:pt>
                <c:pt idx="25">
                  <c:v>1.6000000000000001E-4</c:v>
                </c:pt>
                <c:pt idx="26">
                  <c:v>1.76E-4</c:v>
                </c:pt>
                <c:pt idx="27">
                  <c:v>1.92E-4</c:v>
                </c:pt>
                <c:pt idx="28">
                  <c:v>2.0799999999999999E-4</c:v>
                </c:pt>
                <c:pt idx="29">
                  <c:v>2.24E-4</c:v>
                </c:pt>
                <c:pt idx="30">
                  <c:v>2.4000000000000001E-4</c:v>
                </c:pt>
                <c:pt idx="31">
                  <c:v>2.5599999999999999E-4</c:v>
                </c:pt>
                <c:pt idx="32">
                  <c:v>2.8800000000000001E-4</c:v>
                </c:pt>
                <c:pt idx="33">
                  <c:v>3.2000000000000003E-4</c:v>
                </c:pt>
                <c:pt idx="34">
                  <c:v>3.5199999999999999E-4</c:v>
                </c:pt>
                <c:pt idx="35">
                  <c:v>3.8400000000000001E-4</c:v>
                </c:pt>
                <c:pt idx="36">
                  <c:v>4.1599999999999997E-4</c:v>
                </c:pt>
                <c:pt idx="37">
                  <c:v>4.4799999999999999E-4</c:v>
                </c:pt>
                <c:pt idx="38">
                  <c:v>4.8000000000000001E-4</c:v>
                </c:pt>
                <c:pt idx="39">
                  <c:v>5.1199999999999998E-4</c:v>
                </c:pt>
                <c:pt idx="40">
                  <c:v>5.7600000000000001E-4</c:v>
                </c:pt>
                <c:pt idx="41">
                  <c:v>6.4000000000000005E-4</c:v>
                </c:pt>
                <c:pt idx="42">
                  <c:v>7.0399999999999998E-4</c:v>
                </c:pt>
                <c:pt idx="43">
                  <c:v>7.6800000000000002E-4</c:v>
                </c:pt>
                <c:pt idx="44">
                  <c:v>8.3199999999999995E-4</c:v>
                </c:pt>
                <c:pt idx="45">
                  <c:v>8.9599999999999999E-4</c:v>
                </c:pt>
                <c:pt idx="46">
                  <c:v>9.6000000000000002E-4</c:v>
                </c:pt>
                <c:pt idx="47">
                  <c:v>1.024E-3</c:v>
                </c:pt>
                <c:pt idx="48">
                  <c:v>1.152E-3</c:v>
                </c:pt>
                <c:pt idx="49">
                  <c:v>1.2800000000000001E-3</c:v>
                </c:pt>
                <c:pt idx="50">
                  <c:v>1.408E-3</c:v>
                </c:pt>
                <c:pt idx="51">
                  <c:v>1.536E-3</c:v>
                </c:pt>
                <c:pt idx="52">
                  <c:v>1.6639999999999999E-3</c:v>
                </c:pt>
                <c:pt idx="53">
                  <c:v>1.792E-3</c:v>
                </c:pt>
                <c:pt idx="54">
                  <c:v>1.92E-3</c:v>
                </c:pt>
                <c:pt idx="55">
                  <c:v>2.0479999999999999E-3</c:v>
                </c:pt>
                <c:pt idx="56">
                  <c:v>2.3040000000000001E-3</c:v>
                </c:pt>
                <c:pt idx="57">
                  <c:v>2.5600000000000002E-3</c:v>
                </c:pt>
                <c:pt idx="58">
                  <c:v>2.8159999999999999E-3</c:v>
                </c:pt>
                <c:pt idx="59">
                  <c:v>3.0720000000000001E-3</c:v>
                </c:pt>
                <c:pt idx="60">
                  <c:v>3.3279999999999998E-3</c:v>
                </c:pt>
                <c:pt idx="61">
                  <c:v>3.5839999999999999E-3</c:v>
                </c:pt>
                <c:pt idx="62">
                  <c:v>3.8400000000000001E-3</c:v>
                </c:pt>
                <c:pt idx="63">
                  <c:v>4.0959999999999998E-3</c:v>
                </c:pt>
                <c:pt idx="64">
                  <c:v>4.6080000000000001E-3</c:v>
                </c:pt>
                <c:pt idx="65">
                  <c:v>5.1200000000000004E-3</c:v>
                </c:pt>
                <c:pt idx="66">
                  <c:v>5.6319999999999999E-3</c:v>
                </c:pt>
                <c:pt idx="67">
                  <c:v>6.1440000000000002E-3</c:v>
                </c:pt>
                <c:pt idx="68">
                  <c:v>6.6559999999999996E-3</c:v>
                </c:pt>
                <c:pt idx="69">
                  <c:v>7.1679999999999999E-3</c:v>
                </c:pt>
                <c:pt idx="70">
                  <c:v>7.6800000000000002E-3</c:v>
                </c:pt>
                <c:pt idx="71">
                  <c:v>8.1919999999999996E-3</c:v>
                </c:pt>
                <c:pt idx="72">
                  <c:v>9.2160000000000002E-3</c:v>
                </c:pt>
                <c:pt idx="73">
                  <c:v>1.0240000000000001E-2</c:v>
                </c:pt>
                <c:pt idx="74">
                  <c:v>1.1264E-2</c:v>
                </c:pt>
                <c:pt idx="75">
                  <c:v>1.2288E-2</c:v>
                </c:pt>
                <c:pt idx="76">
                  <c:v>1.3311999999999999E-2</c:v>
                </c:pt>
                <c:pt idx="77">
                  <c:v>1.4336E-2</c:v>
                </c:pt>
                <c:pt idx="78">
                  <c:v>1.536E-2</c:v>
                </c:pt>
                <c:pt idx="79">
                  <c:v>1.6383999999999999E-2</c:v>
                </c:pt>
                <c:pt idx="80">
                  <c:v>1.8432E-2</c:v>
                </c:pt>
                <c:pt idx="81">
                  <c:v>2.0480000000000002E-2</c:v>
                </c:pt>
                <c:pt idx="82">
                  <c:v>2.2527999999999999E-2</c:v>
                </c:pt>
                <c:pt idx="83">
                  <c:v>2.4576000000000001E-2</c:v>
                </c:pt>
                <c:pt idx="84">
                  <c:v>2.6623999999999998E-2</c:v>
                </c:pt>
                <c:pt idx="85">
                  <c:v>2.8672E-2</c:v>
                </c:pt>
                <c:pt idx="86">
                  <c:v>3.0720000000000001E-2</c:v>
                </c:pt>
                <c:pt idx="87">
                  <c:v>3.2767999999999999E-2</c:v>
                </c:pt>
                <c:pt idx="88">
                  <c:v>3.6864000000000001E-2</c:v>
                </c:pt>
                <c:pt idx="89">
                  <c:v>4.0960000000000003E-2</c:v>
                </c:pt>
                <c:pt idx="90">
                  <c:v>4.5055999999999999E-2</c:v>
                </c:pt>
                <c:pt idx="91">
                  <c:v>4.9152000000000001E-2</c:v>
                </c:pt>
                <c:pt idx="92">
                  <c:v>5.3247999999999997E-2</c:v>
                </c:pt>
                <c:pt idx="93">
                  <c:v>5.7343999999999999E-2</c:v>
                </c:pt>
                <c:pt idx="94">
                  <c:v>6.1440000000000002E-2</c:v>
                </c:pt>
                <c:pt idx="95">
                  <c:v>6.5535999999999997E-2</c:v>
                </c:pt>
                <c:pt idx="96">
                  <c:v>7.3728000000000002E-2</c:v>
                </c:pt>
                <c:pt idx="97">
                  <c:v>8.1920000000000007E-2</c:v>
                </c:pt>
                <c:pt idx="98">
                  <c:v>9.0111999999999998E-2</c:v>
                </c:pt>
                <c:pt idx="99">
                  <c:v>9.8304000000000002E-2</c:v>
                </c:pt>
                <c:pt idx="100">
                  <c:v>0.10649599999999999</c:v>
                </c:pt>
                <c:pt idx="101">
                  <c:v>0.114688</c:v>
                </c:pt>
                <c:pt idx="102">
                  <c:v>0.12288</c:v>
                </c:pt>
                <c:pt idx="103">
                  <c:v>0.13107199999999999</c:v>
                </c:pt>
                <c:pt idx="104">
                  <c:v>0.147456</c:v>
                </c:pt>
                <c:pt idx="105">
                  <c:v>0.16384000000000001</c:v>
                </c:pt>
                <c:pt idx="106">
                  <c:v>0.180224</c:v>
                </c:pt>
                <c:pt idx="107">
                  <c:v>0.196608</c:v>
                </c:pt>
                <c:pt idx="108">
                  <c:v>0.21299199999999999</c:v>
                </c:pt>
                <c:pt idx="109">
                  <c:v>0.229376</c:v>
                </c:pt>
                <c:pt idx="110">
                  <c:v>0.24576000000000001</c:v>
                </c:pt>
                <c:pt idx="111">
                  <c:v>0.26214399999999999</c:v>
                </c:pt>
                <c:pt idx="112">
                  <c:v>0.29491200000000001</c:v>
                </c:pt>
                <c:pt idx="113">
                  <c:v>0.32768000000000003</c:v>
                </c:pt>
                <c:pt idx="114">
                  <c:v>0.36044799999999999</c:v>
                </c:pt>
                <c:pt idx="115">
                  <c:v>0.39321600000000001</c:v>
                </c:pt>
                <c:pt idx="116">
                  <c:v>0.42598399999999997</c:v>
                </c:pt>
                <c:pt idx="117">
                  <c:v>0.45875199999999999</c:v>
                </c:pt>
                <c:pt idx="118">
                  <c:v>0.49152000000000001</c:v>
                </c:pt>
                <c:pt idx="119">
                  <c:v>0.52428799999999998</c:v>
                </c:pt>
                <c:pt idx="120">
                  <c:v>0.58982400000000001</c:v>
                </c:pt>
                <c:pt idx="121">
                  <c:v>0.65536000000000005</c:v>
                </c:pt>
                <c:pt idx="122">
                  <c:v>0.72089599999999998</c:v>
                </c:pt>
                <c:pt idx="123">
                  <c:v>0.78643200000000002</c:v>
                </c:pt>
                <c:pt idx="124">
                  <c:v>0.85196799999999995</c:v>
                </c:pt>
                <c:pt idx="125">
                  <c:v>0.91750399999999999</c:v>
                </c:pt>
                <c:pt idx="126">
                  <c:v>0.98304000000000002</c:v>
                </c:pt>
                <c:pt idx="127">
                  <c:v>1.048576</c:v>
                </c:pt>
                <c:pt idx="128">
                  <c:v>1.179648</c:v>
                </c:pt>
                <c:pt idx="129">
                  <c:v>1.3107200000000001</c:v>
                </c:pt>
                <c:pt idx="130">
                  <c:v>1.441792</c:v>
                </c:pt>
                <c:pt idx="131">
                  <c:v>1.572864</c:v>
                </c:pt>
                <c:pt idx="132">
                  <c:v>1.7039359999999999</c:v>
                </c:pt>
                <c:pt idx="133">
                  <c:v>1.835008</c:v>
                </c:pt>
                <c:pt idx="134">
                  <c:v>1.96608</c:v>
                </c:pt>
                <c:pt idx="135">
                  <c:v>2.0971519999999999</c:v>
                </c:pt>
                <c:pt idx="136">
                  <c:v>2.3592960000000001</c:v>
                </c:pt>
                <c:pt idx="137">
                  <c:v>2.6214400000000002</c:v>
                </c:pt>
                <c:pt idx="138">
                  <c:v>2.8835839999999999</c:v>
                </c:pt>
                <c:pt idx="139">
                  <c:v>3.1457280000000001</c:v>
                </c:pt>
                <c:pt idx="140">
                  <c:v>3.4078719999999998</c:v>
                </c:pt>
                <c:pt idx="141">
                  <c:v>3.6700159999999999</c:v>
                </c:pt>
                <c:pt idx="142">
                  <c:v>3.9321600000000001</c:v>
                </c:pt>
                <c:pt idx="143">
                  <c:v>4.1943039999999998</c:v>
                </c:pt>
                <c:pt idx="144">
                  <c:v>4.7185920000000001</c:v>
                </c:pt>
                <c:pt idx="145">
                  <c:v>5.2428800000000004</c:v>
                </c:pt>
                <c:pt idx="146">
                  <c:v>5.7671679999999999</c:v>
                </c:pt>
                <c:pt idx="147">
                  <c:v>6.2914560000000002</c:v>
                </c:pt>
                <c:pt idx="148">
                  <c:v>6.8157439999999996</c:v>
                </c:pt>
                <c:pt idx="149">
                  <c:v>7.3400319999999999</c:v>
                </c:pt>
                <c:pt idx="150">
                  <c:v>7.8643200000000002</c:v>
                </c:pt>
                <c:pt idx="151">
                  <c:v>8.3886079999999996</c:v>
                </c:pt>
                <c:pt idx="152">
                  <c:v>9.4371840000000002</c:v>
                </c:pt>
                <c:pt idx="153">
                  <c:v>10.485760000000001</c:v>
                </c:pt>
                <c:pt idx="154">
                  <c:v>11.534336</c:v>
                </c:pt>
                <c:pt idx="155">
                  <c:v>12.582912</c:v>
                </c:pt>
                <c:pt idx="156">
                  <c:v>13.631487999999999</c:v>
                </c:pt>
                <c:pt idx="157">
                  <c:v>14.680064</c:v>
                </c:pt>
                <c:pt idx="158">
                  <c:v>15.72864</c:v>
                </c:pt>
                <c:pt idx="159">
                  <c:v>16.777215999999999</c:v>
                </c:pt>
                <c:pt idx="160">
                  <c:v>18.874368</c:v>
                </c:pt>
                <c:pt idx="161">
                  <c:v>20.971520000000002</c:v>
                </c:pt>
                <c:pt idx="162">
                  <c:v>23.068671999999999</c:v>
                </c:pt>
                <c:pt idx="163">
                  <c:v>25.165824000000001</c:v>
                </c:pt>
                <c:pt idx="164">
                  <c:v>27.262975999999998</c:v>
                </c:pt>
                <c:pt idx="165">
                  <c:v>29.360128</c:v>
                </c:pt>
                <c:pt idx="166">
                  <c:v>31.457280000000001</c:v>
                </c:pt>
                <c:pt idx="167">
                  <c:v>33.554431999999998</c:v>
                </c:pt>
                <c:pt idx="168">
                  <c:v>37.748736000000001</c:v>
                </c:pt>
                <c:pt idx="169">
                  <c:v>41.943040000000003</c:v>
                </c:pt>
                <c:pt idx="170">
                  <c:v>46.137343999999999</c:v>
                </c:pt>
                <c:pt idx="171">
                  <c:v>50.331648000000001</c:v>
                </c:pt>
                <c:pt idx="172">
                  <c:v>54.525951999999997</c:v>
                </c:pt>
                <c:pt idx="173">
                  <c:v>58.720255999999999</c:v>
                </c:pt>
                <c:pt idx="174">
                  <c:v>62.914560000000002</c:v>
                </c:pt>
                <c:pt idx="175">
                  <c:v>67.108863999999997</c:v>
                </c:pt>
                <c:pt idx="176">
                  <c:v>75.497472000000002</c:v>
                </c:pt>
                <c:pt idx="177">
                  <c:v>83.886080000000007</c:v>
                </c:pt>
                <c:pt idx="178">
                  <c:v>92.274687999999998</c:v>
                </c:pt>
                <c:pt idx="179">
                  <c:v>100.663296</c:v>
                </c:pt>
                <c:pt idx="180">
                  <c:v>109.05190399999999</c:v>
                </c:pt>
                <c:pt idx="181">
                  <c:v>117.440512</c:v>
                </c:pt>
                <c:pt idx="182">
                  <c:v>125.82912</c:v>
                </c:pt>
                <c:pt idx="183">
                  <c:v>134.21772799999999</c:v>
                </c:pt>
                <c:pt idx="184">
                  <c:v>150.994944</c:v>
                </c:pt>
                <c:pt idx="185">
                  <c:v>167.77216000000001</c:v>
                </c:pt>
                <c:pt idx="186">
                  <c:v>184.549376</c:v>
                </c:pt>
                <c:pt idx="187">
                  <c:v>201.32659200000001</c:v>
                </c:pt>
                <c:pt idx="188">
                  <c:v>218.10380799999999</c:v>
                </c:pt>
                <c:pt idx="189">
                  <c:v>234.881024</c:v>
                </c:pt>
                <c:pt idx="190">
                  <c:v>251.65824000000001</c:v>
                </c:pt>
                <c:pt idx="191">
                  <c:v>268.43545599999999</c:v>
                </c:pt>
                <c:pt idx="192">
                  <c:v>301.98988800000001</c:v>
                </c:pt>
                <c:pt idx="193">
                  <c:v>335.54432000000003</c:v>
                </c:pt>
                <c:pt idx="194">
                  <c:v>369.09875199999999</c:v>
                </c:pt>
                <c:pt idx="195">
                  <c:v>402.65318400000001</c:v>
                </c:pt>
                <c:pt idx="196">
                  <c:v>436.20761599999997</c:v>
                </c:pt>
                <c:pt idx="197">
                  <c:v>469.76204799999999</c:v>
                </c:pt>
                <c:pt idx="198">
                  <c:v>503.31648000000001</c:v>
                </c:pt>
                <c:pt idx="199">
                  <c:v>536.87091199999998</c:v>
                </c:pt>
                <c:pt idx="200">
                  <c:v>603.97977600000002</c:v>
                </c:pt>
                <c:pt idx="201">
                  <c:v>671.08864000000005</c:v>
                </c:pt>
                <c:pt idx="202">
                  <c:v>738.19750399999998</c:v>
                </c:pt>
                <c:pt idx="203">
                  <c:v>805.30636800000002</c:v>
                </c:pt>
                <c:pt idx="204">
                  <c:v>872.41523199999995</c:v>
                </c:pt>
                <c:pt idx="205">
                  <c:v>939.52409599999999</c:v>
                </c:pt>
                <c:pt idx="206">
                  <c:v>1006.63296</c:v>
                </c:pt>
                <c:pt idx="207">
                  <c:v>1073.741824</c:v>
                </c:pt>
                <c:pt idx="208">
                  <c:v>1207.959552</c:v>
                </c:pt>
                <c:pt idx="209">
                  <c:v>1342.1772800000001</c:v>
                </c:pt>
                <c:pt idx="210">
                  <c:v>1476.395008</c:v>
                </c:pt>
                <c:pt idx="211">
                  <c:v>1610.612736</c:v>
                </c:pt>
                <c:pt idx="212">
                  <c:v>1744.8304639999999</c:v>
                </c:pt>
                <c:pt idx="213">
                  <c:v>1879.048192</c:v>
                </c:pt>
                <c:pt idx="214">
                  <c:v>2013.2659200000001</c:v>
                </c:pt>
                <c:pt idx="215">
                  <c:v>2147.4836479999999</c:v>
                </c:pt>
                <c:pt idx="216">
                  <c:v>2415.9191040000001</c:v>
                </c:pt>
                <c:pt idx="217">
                  <c:v>2684.3545600000002</c:v>
                </c:pt>
                <c:pt idx="218">
                  <c:v>2952.7900159999999</c:v>
                </c:pt>
                <c:pt idx="219">
                  <c:v>3221.2254720000001</c:v>
                </c:pt>
                <c:pt idx="220">
                  <c:v>3489.6609279999998</c:v>
                </c:pt>
                <c:pt idx="221">
                  <c:v>3758.0963839999999</c:v>
                </c:pt>
                <c:pt idx="222">
                  <c:v>4026.5318400000001</c:v>
                </c:pt>
                <c:pt idx="223">
                  <c:v>4294.9672959999998</c:v>
                </c:pt>
                <c:pt idx="224">
                  <c:v>4831.8382080000001</c:v>
                </c:pt>
                <c:pt idx="225">
                  <c:v>5368.7091200000004</c:v>
                </c:pt>
                <c:pt idx="226">
                  <c:v>5905.5800319999998</c:v>
                </c:pt>
                <c:pt idx="227">
                  <c:v>6442.4509440000002</c:v>
                </c:pt>
                <c:pt idx="228">
                  <c:v>6979.3218559999996</c:v>
                </c:pt>
                <c:pt idx="229">
                  <c:v>7516.1927679999999</c:v>
                </c:pt>
                <c:pt idx="230">
                  <c:v>8053.0636800000002</c:v>
                </c:pt>
                <c:pt idx="231">
                  <c:v>8589.9345919999996</c:v>
                </c:pt>
                <c:pt idx="232">
                  <c:v>9663.6764160000002</c:v>
                </c:pt>
                <c:pt idx="233">
                  <c:v>10737.418240000001</c:v>
                </c:pt>
                <c:pt idx="234">
                  <c:v>11811.160064</c:v>
                </c:pt>
                <c:pt idx="235">
                  <c:v>12884.901888</c:v>
                </c:pt>
                <c:pt idx="236">
                  <c:v>13958.643711999999</c:v>
                </c:pt>
                <c:pt idx="237">
                  <c:v>15032.385536</c:v>
                </c:pt>
                <c:pt idx="238">
                  <c:v>16106.12736</c:v>
                </c:pt>
                <c:pt idx="239">
                  <c:v>17179.869183999999</c:v>
                </c:pt>
                <c:pt idx="240">
                  <c:v>19327.352832</c:v>
                </c:pt>
                <c:pt idx="241">
                  <c:v>21474.836480000002</c:v>
                </c:pt>
                <c:pt idx="242">
                  <c:v>23622.320127999999</c:v>
                </c:pt>
                <c:pt idx="243">
                  <c:v>25769.803776000001</c:v>
                </c:pt>
                <c:pt idx="244">
                  <c:v>27917.287423999998</c:v>
                </c:pt>
              </c:numCache>
            </c:numRef>
          </c:xVal>
          <c:yVal>
            <c:numRef>
              <c:f>'2_Alexa488-IgG + Rh110'!$B$2:$B$252</c:f>
              <c:numCache>
                <c:formatCode>General</c:formatCode>
                <c:ptCount val="251"/>
                <c:pt idx="0">
                  <c:v>1.3458600000000001</c:v>
                </c:pt>
                <c:pt idx="1">
                  <c:v>1.41076</c:v>
                </c:pt>
                <c:pt idx="2">
                  <c:v>1.39852</c:v>
                </c:pt>
                <c:pt idx="3">
                  <c:v>1.41814</c:v>
                </c:pt>
                <c:pt idx="4">
                  <c:v>1.41622</c:v>
                </c:pt>
                <c:pt idx="5">
                  <c:v>1.4091400000000001</c:v>
                </c:pt>
                <c:pt idx="6">
                  <c:v>1.42035</c:v>
                </c:pt>
                <c:pt idx="7">
                  <c:v>1.4174</c:v>
                </c:pt>
                <c:pt idx="8">
                  <c:v>1.4047099999999999</c:v>
                </c:pt>
                <c:pt idx="9">
                  <c:v>1.4025000000000001</c:v>
                </c:pt>
                <c:pt idx="10">
                  <c:v>1.40103</c:v>
                </c:pt>
                <c:pt idx="11">
                  <c:v>1.4028</c:v>
                </c:pt>
                <c:pt idx="12">
                  <c:v>1.4275800000000001</c:v>
                </c:pt>
                <c:pt idx="13">
                  <c:v>1.4091400000000001</c:v>
                </c:pt>
                <c:pt idx="14">
                  <c:v>1.4042699999999999</c:v>
                </c:pt>
                <c:pt idx="15">
                  <c:v>1.4005799999999999</c:v>
                </c:pt>
                <c:pt idx="16">
                  <c:v>1.41696</c:v>
                </c:pt>
                <c:pt idx="17">
                  <c:v>1.4129700000000001</c:v>
                </c:pt>
                <c:pt idx="18">
                  <c:v>1.4146700000000001</c:v>
                </c:pt>
                <c:pt idx="19">
                  <c:v>1.4075899999999999</c:v>
                </c:pt>
                <c:pt idx="20">
                  <c:v>1.4154800000000001</c:v>
                </c:pt>
                <c:pt idx="21">
                  <c:v>1.41032</c:v>
                </c:pt>
                <c:pt idx="22">
                  <c:v>1.39313</c:v>
                </c:pt>
                <c:pt idx="23">
                  <c:v>1.40656</c:v>
                </c:pt>
                <c:pt idx="24">
                  <c:v>1.40479</c:v>
                </c:pt>
                <c:pt idx="25">
                  <c:v>1.40265</c:v>
                </c:pt>
                <c:pt idx="26">
                  <c:v>1.4095800000000001</c:v>
                </c:pt>
                <c:pt idx="27">
                  <c:v>1.4130499999999999</c:v>
                </c:pt>
                <c:pt idx="28">
                  <c:v>1.4075500000000001</c:v>
                </c:pt>
                <c:pt idx="29">
                  <c:v>1.41117</c:v>
                </c:pt>
                <c:pt idx="30">
                  <c:v>1.4021699999999999</c:v>
                </c:pt>
                <c:pt idx="31">
                  <c:v>1.40317</c:v>
                </c:pt>
                <c:pt idx="32">
                  <c:v>1.4017500000000001</c:v>
                </c:pt>
                <c:pt idx="33">
                  <c:v>1.40754</c:v>
                </c:pt>
                <c:pt idx="34">
                  <c:v>1.40333</c:v>
                </c:pt>
                <c:pt idx="35">
                  <c:v>1.3942600000000001</c:v>
                </c:pt>
                <c:pt idx="36">
                  <c:v>1.3970400000000001</c:v>
                </c:pt>
                <c:pt idx="37">
                  <c:v>1.39998</c:v>
                </c:pt>
                <c:pt idx="38">
                  <c:v>1.39415</c:v>
                </c:pt>
                <c:pt idx="39">
                  <c:v>1.39998</c:v>
                </c:pt>
                <c:pt idx="40">
                  <c:v>1.39419</c:v>
                </c:pt>
                <c:pt idx="41">
                  <c:v>1.3943399999999999</c:v>
                </c:pt>
                <c:pt idx="42">
                  <c:v>1.39903</c:v>
                </c:pt>
                <c:pt idx="43">
                  <c:v>1.39873</c:v>
                </c:pt>
                <c:pt idx="44">
                  <c:v>1.39672</c:v>
                </c:pt>
                <c:pt idx="45">
                  <c:v>1.39185</c:v>
                </c:pt>
                <c:pt idx="46">
                  <c:v>1.3933</c:v>
                </c:pt>
                <c:pt idx="47">
                  <c:v>1.40086</c:v>
                </c:pt>
                <c:pt idx="48">
                  <c:v>1.3955</c:v>
                </c:pt>
                <c:pt idx="49">
                  <c:v>1.3929</c:v>
                </c:pt>
                <c:pt idx="50">
                  <c:v>1.3935900000000001</c:v>
                </c:pt>
                <c:pt idx="51">
                  <c:v>1.3863799999999999</c:v>
                </c:pt>
                <c:pt idx="52">
                  <c:v>1.39253</c:v>
                </c:pt>
                <c:pt idx="53">
                  <c:v>1.3883099999999999</c:v>
                </c:pt>
                <c:pt idx="54">
                  <c:v>1.39106</c:v>
                </c:pt>
                <c:pt idx="55">
                  <c:v>1.38748</c:v>
                </c:pt>
                <c:pt idx="56">
                  <c:v>1.38923</c:v>
                </c:pt>
                <c:pt idx="57">
                  <c:v>1.38812</c:v>
                </c:pt>
                <c:pt idx="58">
                  <c:v>1.38626</c:v>
                </c:pt>
                <c:pt idx="59">
                  <c:v>1.3854599999999999</c:v>
                </c:pt>
                <c:pt idx="60">
                  <c:v>1.38117</c:v>
                </c:pt>
                <c:pt idx="61">
                  <c:v>1.38167</c:v>
                </c:pt>
                <c:pt idx="62">
                  <c:v>1.3829100000000001</c:v>
                </c:pt>
                <c:pt idx="63">
                  <c:v>1.3846700000000001</c:v>
                </c:pt>
                <c:pt idx="64">
                  <c:v>1.3805099999999999</c:v>
                </c:pt>
                <c:pt idx="65">
                  <c:v>1.37843</c:v>
                </c:pt>
                <c:pt idx="66">
                  <c:v>1.3794299999999999</c:v>
                </c:pt>
                <c:pt idx="67">
                  <c:v>1.3733500000000001</c:v>
                </c:pt>
                <c:pt idx="68">
                  <c:v>1.37479</c:v>
                </c:pt>
                <c:pt idx="69">
                  <c:v>1.3738600000000001</c:v>
                </c:pt>
                <c:pt idx="70">
                  <c:v>1.3726799999999999</c:v>
                </c:pt>
                <c:pt idx="71">
                  <c:v>1.37347</c:v>
                </c:pt>
                <c:pt idx="72">
                  <c:v>1.3712299999999999</c:v>
                </c:pt>
                <c:pt idx="73">
                  <c:v>1.3677999999999999</c:v>
                </c:pt>
                <c:pt idx="74">
                  <c:v>1.36826</c:v>
                </c:pt>
                <c:pt idx="75">
                  <c:v>1.36646</c:v>
                </c:pt>
                <c:pt idx="76">
                  <c:v>1.3656299999999999</c:v>
                </c:pt>
                <c:pt idx="77">
                  <c:v>1.36456</c:v>
                </c:pt>
                <c:pt idx="78">
                  <c:v>1.3626499999999999</c:v>
                </c:pt>
                <c:pt idx="79">
                  <c:v>1.3623000000000001</c:v>
                </c:pt>
                <c:pt idx="80">
                  <c:v>1.36083</c:v>
                </c:pt>
                <c:pt idx="81">
                  <c:v>1.3589899999999999</c:v>
                </c:pt>
                <c:pt idx="82">
                  <c:v>1.35639</c:v>
                </c:pt>
                <c:pt idx="83">
                  <c:v>1.3551</c:v>
                </c:pt>
                <c:pt idx="84">
                  <c:v>1.35253</c:v>
                </c:pt>
                <c:pt idx="85">
                  <c:v>1.35188</c:v>
                </c:pt>
                <c:pt idx="86">
                  <c:v>1.3493599999999999</c:v>
                </c:pt>
                <c:pt idx="87">
                  <c:v>1.34771</c:v>
                </c:pt>
                <c:pt idx="88">
                  <c:v>1.3456999999999999</c:v>
                </c:pt>
                <c:pt idx="89">
                  <c:v>1.3417300000000001</c:v>
                </c:pt>
                <c:pt idx="90">
                  <c:v>1.33934</c:v>
                </c:pt>
                <c:pt idx="91">
                  <c:v>1.3365499999999999</c:v>
                </c:pt>
                <c:pt idx="92">
                  <c:v>1.3331900000000001</c:v>
                </c:pt>
                <c:pt idx="93">
                  <c:v>1.3309299999999999</c:v>
                </c:pt>
                <c:pt idx="94">
                  <c:v>1.3269899999999999</c:v>
                </c:pt>
                <c:pt idx="95">
                  <c:v>1.3250999999999999</c:v>
                </c:pt>
                <c:pt idx="96">
                  <c:v>1.3204199999999999</c:v>
                </c:pt>
                <c:pt idx="97">
                  <c:v>1.3152299999999999</c:v>
                </c:pt>
                <c:pt idx="98">
                  <c:v>1.3112299999999999</c:v>
                </c:pt>
                <c:pt idx="99">
                  <c:v>1.3071299999999999</c:v>
                </c:pt>
                <c:pt idx="100">
                  <c:v>1.3027</c:v>
                </c:pt>
                <c:pt idx="101">
                  <c:v>1.2991699999999999</c:v>
                </c:pt>
                <c:pt idx="102">
                  <c:v>1.2952399999999999</c:v>
                </c:pt>
                <c:pt idx="103">
                  <c:v>1.29152</c:v>
                </c:pt>
                <c:pt idx="104">
                  <c:v>1.28525</c:v>
                </c:pt>
                <c:pt idx="105">
                  <c:v>1.2791999999999999</c:v>
                </c:pt>
                <c:pt idx="106">
                  <c:v>1.27359</c:v>
                </c:pt>
                <c:pt idx="107">
                  <c:v>1.2681</c:v>
                </c:pt>
                <c:pt idx="108">
                  <c:v>1.26271</c:v>
                </c:pt>
                <c:pt idx="109">
                  <c:v>1.2580100000000001</c:v>
                </c:pt>
                <c:pt idx="110">
                  <c:v>1.2537400000000001</c:v>
                </c:pt>
                <c:pt idx="111">
                  <c:v>1.2495099999999999</c:v>
                </c:pt>
                <c:pt idx="112">
                  <c:v>1.2414000000000001</c:v>
                </c:pt>
                <c:pt idx="113">
                  <c:v>1.2340800000000001</c:v>
                </c:pt>
                <c:pt idx="114">
                  <c:v>1.2275499999999999</c:v>
                </c:pt>
                <c:pt idx="115">
                  <c:v>1.2210399999999999</c:v>
                </c:pt>
                <c:pt idx="116">
                  <c:v>1.2157800000000001</c:v>
                </c:pt>
                <c:pt idx="117">
                  <c:v>1.2105399999999999</c:v>
                </c:pt>
                <c:pt idx="118">
                  <c:v>1.20556</c:v>
                </c:pt>
                <c:pt idx="119">
                  <c:v>1.20119</c:v>
                </c:pt>
                <c:pt idx="120">
                  <c:v>1.19292</c:v>
                </c:pt>
                <c:pt idx="121">
                  <c:v>1.18519</c:v>
                </c:pt>
                <c:pt idx="122">
                  <c:v>1.1784399999999999</c:v>
                </c:pt>
                <c:pt idx="123">
                  <c:v>1.1722900000000001</c:v>
                </c:pt>
                <c:pt idx="124">
                  <c:v>1.1665000000000001</c:v>
                </c:pt>
                <c:pt idx="125">
                  <c:v>1.1613800000000001</c:v>
                </c:pt>
                <c:pt idx="126">
                  <c:v>1.1566799999999999</c:v>
                </c:pt>
                <c:pt idx="127">
                  <c:v>1.1518699999999999</c:v>
                </c:pt>
                <c:pt idx="128">
                  <c:v>1.14307</c:v>
                </c:pt>
                <c:pt idx="129">
                  <c:v>1.13523</c:v>
                </c:pt>
                <c:pt idx="130">
                  <c:v>1.1283300000000001</c:v>
                </c:pt>
                <c:pt idx="131">
                  <c:v>1.1221300000000001</c:v>
                </c:pt>
                <c:pt idx="132">
                  <c:v>1.1166700000000001</c:v>
                </c:pt>
                <c:pt idx="133">
                  <c:v>1.11178</c:v>
                </c:pt>
                <c:pt idx="134">
                  <c:v>1.1075299999999999</c:v>
                </c:pt>
                <c:pt idx="135">
                  <c:v>1.10304</c:v>
                </c:pt>
                <c:pt idx="136">
                  <c:v>1.0951</c:v>
                </c:pt>
                <c:pt idx="137">
                  <c:v>1.08806</c:v>
                </c:pt>
                <c:pt idx="138">
                  <c:v>1.0824100000000001</c:v>
                </c:pt>
                <c:pt idx="139">
                  <c:v>1.07755</c:v>
                </c:pt>
                <c:pt idx="140">
                  <c:v>1.0729</c:v>
                </c:pt>
                <c:pt idx="141">
                  <c:v>1.0684800000000001</c:v>
                </c:pt>
                <c:pt idx="142">
                  <c:v>1.06473</c:v>
                </c:pt>
                <c:pt idx="143">
                  <c:v>1.0612999999999999</c:v>
                </c:pt>
                <c:pt idx="144">
                  <c:v>1.0554699999999999</c:v>
                </c:pt>
                <c:pt idx="145">
                  <c:v>1.05063</c:v>
                </c:pt>
                <c:pt idx="146">
                  <c:v>1.0469599999999999</c:v>
                </c:pt>
                <c:pt idx="147">
                  <c:v>1.0432699999999999</c:v>
                </c:pt>
                <c:pt idx="148">
                  <c:v>1.0403500000000001</c:v>
                </c:pt>
                <c:pt idx="149">
                  <c:v>1.0377799999999999</c:v>
                </c:pt>
                <c:pt idx="150">
                  <c:v>1.03542</c:v>
                </c:pt>
                <c:pt idx="151">
                  <c:v>1.03322</c:v>
                </c:pt>
                <c:pt idx="152">
                  <c:v>1.0298499999999999</c:v>
                </c:pt>
                <c:pt idx="153">
                  <c:v>1.02572</c:v>
                </c:pt>
                <c:pt idx="154">
                  <c:v>1.0226299999999999</c:v>
                </c:pt>
                <c:pt idx="155">
                  <c:v>1.02037</c:v>
                </c:pt>
                <c:pt idx="156">
                  <c:v>1.0188299999999999</c:v>
                </c:pt>
                <c:pt idx="157">
                  <c:v>1.0180800000000001</c:v>
                </c:pt>
                <c:pt idx="158">
                  <c:v>1.01715</c:v>
                </c:pt>
                <c:pt idx="159">
                  <c:v>1.01579</c:v>
                </c:pt>
                <c:pt idx="160">
                  <c:v>1.01322</c:v>
                </c:pt>
                <c:pt idx="161">
                  <c:v>1.0108699999999999</c:v>
                </c:pt>
                <c:pt idx="162">
                  <c:v>1.0099800000000001</c:v>
                </c:pt>
                <c:pt idx="163">
                  <c:v>1.0087900000000001</c:v>
                </c:pt>
                <c:pt idx="164">
                  <c:v>1.0085900000000001</c:v>
                </c:pt>
                <c:pt idx="165">
                  <c:v>1.0076499999999999</c:v>
                </c:pt>
                <c:pt idx="166">
                  <c:v>1.0078100000000001</c:v>
                </c:pt>
                <c:pt idx="167">
                  <c:v>1.0064599999999999</c:v>
                </c:pt>
                <c:pt idx="168">
                  <c:v>1.0060100000000001</c:v>
                </c:pt>
                <c:pt idx="169">
                  <c:v>1.0062899999999999</c:v>
                </c:pt>
                <c:pt idx="170">
                  <c:v>1.0057</c:v>
                </c:pt>
                <c:pt idx="171">
                  <c:v>1.0054700000000001</c:v>
                </c:pt>
                <c:pt idx="172">
                  <c:v>1.00379</c:v>
                </c:pt>
                <c:pt idx="173">
                  <c:v>1.0027600000000001</c:v>
                </c:pt>
                <c:pt idx="174">
                  <c:v>1.0037199999999999</c:v>
                </c:pt>
                <c:pt idx="175">
                  <c:v>1.00302</c:v>
                </c:pt>
                <c:pt idx="176">
                  <c:v>1.0037199999999999</c:v>
                </c:pt>
                <c:pt idx="177">
                  <c:v>1.0022200000000001</c:v>
                </c:pt>
                <c:pt idx="178">
                  <c:v>1.00387</c:v>
                </c:pt>
                <c:pt idx="179">
                  <c:v>1.0046299999999999</c:v>
                </c:pt>
                <c:pt idx="180">
                  <c:v>1.0028900000000001</c:v>
                </c:pt>
                <c:pt idx="181">
                  <c:v>1.00265</c:v>
                </c:pt>
                <c:pt idx="182">
                  <c:v>1.0036099999999999</c:v>
                </c:pt>
                <c:pt idx="183">
                  <c:v>1.0020899999999999</c:v>
                </c:pt>
                <c:pt idx="184">
                  <c:v>1.0018400000000001</c:v>
                </c:pt>
                <c:pt idx="185">
                  <c:v>1.0013399999999999</c:v>
                </c:pt>
                <c:pt idx="186">
                  <c:v>1.00221</c:v>
                </c:pt>
                <c:pt idx="187">
                  <c:v>1.00285</c:v>
                </c:pt>
                <c:pt idx="188">
                  <c:v>1.0030399999999999</c:v>
                </c:pt>
                <c:pt idx="189">
                  <c:v>1.00251</c:v>
                </c:pt>
                <c:pt idx="190">
                  <c:v>1.00187</c:v>
                </c:pt>
                <c:pt idx="191">
                  <c:v>1.0010300000000001</c:v>
                </c:pt>
                <c:pt idx="192">
                  <c:v>1.0010699999999999</c:v>
                </c:pt>
                <c:pt idx="193">
                  <c:v>1.0004599999999999</c:v>
                </c:pt>
                <c:pt idx="194">
                  <c:v>0.99989499999999998</c:v>
                </c:pt>
                <c:pt idx="195">
                  <c:v>1.0003599999999999</c:v>
                </c:pt>
                <c:pt idx="196">
                  <c:v>1.0001899999999999</c:v>
                </c:pt>
                <c:pt idx="197">
                  <c:v>1.0006900000000001</c:v>
                </c:pt>
                <c:pt idx="198">
                  <c:v>0.99986200000000003</c:v>
                </c:pt>
                <c:pt idx="199">
                  <c:v>1.00023</c:v>
                </c:pt>
                <c:pt idx="200">
                  <c:v>1.00142</c:v>
                </c:pt>
                <c:pt idx="201">
                  <c:v>1.0013700000000001</c:v>
                </c:pt>
                <c:pt idx="202">
                  <c:v>1.0004999999999999</c:v>
                </c:pt>
                <c:pt idx="203">
                  <c:v>1.0011000000000001</c:v>
                </c:pt>
                <c:pt idx="204">
                  <c:v>1.0007699999999999</c:v>
                </c:pt>
                <c:pt idx="205">
                  <c:v>1.00108</c:v>
                </c:pt>
                <c:pt idx="206">
                  <c:v>1.0004500000000001</c:v>
                </c:pt>
                <c:pt idx="207">
                  <c:v>1.0009600000000001</c:v>
                </c:pt>
                <c:pt idx="208">
                  <c:v>1.00108</c:v>
                </c:pt>
                <c:pt idx="209">
                  <c:v>1.0020100000000001</c:v>
                </c:pt>
                <c:pt idx="210">
                  <c:v>1.00166</c:v>
                </c:pt>
                <c:pt idx="211">
                  <c:v>1.00281</c:v>
                </c:pt>
                <c:pt idx="212">
                  <c:v>1.0016400000000001</c:v>
                </c:pt>
                <c:pt idx="213">
                  <c:v>1.0016700000000001</c:v>
                </c:pt>
                <c:pt idx="214">
                  <c:v>1.00092</c:v>
                </c:pt>
                <c:pt idx="215">
                  <c:v>1.0017</c:v>
                </c:pt>
                <c:pt idx="216">
                  <c:v>1.0031099999999999</c:v>
                </c:pt>
                <c:pt idx="217">
                  <c:v>1.0019400000000001</c:v>
                </c:pt>
                <c:pt idx="218">
                  <c:v>1.00119</c:v>
                </c:pt>
                <c:pt idx="219">
                  <c:v>1.0017199999999999</c:v>
                </c:pt>
                <c:pt idx="220">
                  <c:v>1.00159</c:v>
                </c:pt>
                <c:pt idx="221">
                  <c:v>1.0019</c:v>
                </c:pt>
                <c:pt idx="222">
                  <c:v>1.00196</c:v>
                </c:pt>
                <c:pt idx="223">
                  <c:v>1.0002</c:v>
                </c:pt>
                <c:pt idx="224">
                  <c:v>1.0009300000000001</c:v>
                </c:pt>
                <c:pt idx="225">
                  <c:v>1.00152</c:v>
                </c:pt>
                <c:pt idx="226">
                  <c:v>1.00135</c:v>
                </c:pt>
                <c:pt idx="227">
                  <c:v>1.0019899999999999</c:v>
                </c:pt>
                <c:pt idx="228">
                  <c:v>1.00166</c:v>
                </c:pt>
                <c:pt idx="229">
                  <c:v>1.0015499999999999</c:v>
                </c:pt>
                <c:pt idx="230">
                  <c:v>1.0013300000000001</c:v>
                </c:pt>
                <c:pt idx="231">
                  <c:v>1.00159</c:v>
                </c:pt>
                <c:pt idx="232">
                  <c:v>1.00084</c:v>
                </c:pt>
                <c:pt idx="233">
                  <c:v>1.0009999999999999</c:v>
                </c:pt>
                <c:pt idx="234">
                  <c:v>1.00187</c:v>
                </c:pt>
                <c:pt idx="235">
                  <c:v>1.0018499999999999</c:v>
                </c:pt>
                <c:pt idx="236">
                  <c:v>1.0019199999999999</c:v>
                </c:pt>
                <c:pt idx="237">
                  <c:v>1.0022500000000001</c:v>
                </c:pt>
                <c:pt idx="238">
                  <c:v>1.0025599999999999</c:v>
                </c:pt>
                <c:pt idx="239">
                  <c:v>1.006</c:v>
                </c:pt>
                <c:pt idx="240">
                  <c:v>1.00664</c:v>
                </c:pt>
                <c:pt idx="241">
                  <c:v>1.0088200000000001</c:v>
                </c:pt>
                <c:pt idx="242">
                  <c:v>1.0093099999999999</c:v>
                </c:pt>
                <c:pt idx="243">
                  <c:v>1.0100800000000001</c:v>
                </c:pt>
                <c:pt idx="244">
                  <c:v>1.0106900000000001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620-425E-91DF-6E52A499E827}"/>
            </c:ext>
          </c:extLst>
        </c:ser>
        <c:ser>
          <c:idx val="1"/>
          <c:order val="1"/>
          <c:tx>
            <c:strRef>
              <c:f>'2_Alexa488-IgG + Rh110'!$E$1</c:f>
              <c:strCache>
                <c:ptCount val="1"/>
                <c:pt idx="0">
                  <c:v>model f</c:v>
                </c:pt>
              </c:strCache>
            </c:strRef>
          </c:tx>
          <c:marker>
            <c:symbol val="none"/>
          </c:marker>
          <c:xVal>
            <c:numRef>
              <c:f>'2_Alexa488-IgG + Rh110'!$A$3:$A$246</c:f>
              <c:numCache>
                <c:formatCode>General</c:formatCode>
                <c:ptCount val="244"/>
                <c:pt idx="0">
                  <c:v>7.9999999999999996E-6</c:v>
                </c:pt>
                <c:pt idx="1">
                  <c:v>1.2E-5</c:v>
                </c:pt>
                <c:pt idx="2">
                  <c:v>1.5999999999999999E-5</c:v>
                </c:pt>
                <c:pt idx="3">
                  <c:v>2.0000000000000002E-5</c:v>
                </c:pt>
                <c:pt idx="4">
                  <c:v>2.4000000000000001E-5</c:v>
                </c:pt>
                <c:pt idx="5">
                  <c:v>2.8E-5</c:v>
                </c:pt>
                <c:pt idx="6">
                  <c:v>3.1999999999999999E-5</c:v>
                </c:pt>
                <c:pt idx="7">
                  <c:v>3.6000000000000001E-5</c:v>
                </c:pt>
                <c:pt idx="8">
                  <c:v>4.0000000000000003E-5</c:v>
                </c:pt>
                <c:pt idx="9">
                  <c:v>4.3999999999999999E-5</c:v>
                </c:pt>
                <c:pt idx="10">
                  <c:v>4.8000000000000001E-5</c:v>
                </c:pt>
                <c:pt idx="11">
                  <c:v>5.1999999999999997E-5</c:v>
                </c:pt>
                <c:pt idx="12">
                  <c:v>5.5999999999999999E-5</c:v>
                </c:pt>
                <c:pt idx="13">
                  <c:v>6.0000000000000002E-5</c:v>
                </c:pt>
                <c:pt idx="14">
                  <c:v>6.3999999999999997E-5</c:v>
                </c:pt>
                <c:pt idx="15">
                  <c:v>7.2000000000000002E-5</c:v>
                </c:pt>
                <c:pt idx="16">
                  <c:v>8.0000000000000007E-5</c:v>
                </c:pt>
                <c:pt idx="17">
                  <c:v>8.7999999999999998E-5</c:v>
                </c:pt>
                <c:pt idx="18">
                  <c:v>9.6000000000000002E-5</c:v>
                </c:pt>
                <c:pt idx="19">
                  <c:v>1.0399999999999999E-4</c:v>
                </c:pt>
                <c:pt idx="20">
                  <c:v>1.12E-4</c:v>
                </c:pt>
                <c:pt idx="21">
                  <c:v>1.2E-4</c:v>
                </c:pt>
                <c:pt idx="22">
                  <c:v>1.2799999999999999E-4</c:v>
                </c:pt>
                <c:pt idx="23">
                  <c:v>1.44E-4</c:v>
                </c:pt>
                <c:pt idx="24">
                  <c:v>1.6000000000000001E-4</c:v>
                </c:pt>
                <c:pt idx="25">
                  <c:v>1.76E-4</c:v>
                </c:pt>
                <c:pt idx="26">
                  <c:v>1.92E-4</c:v>
                </c:pt>
                <c:pt idx="27">
                  <c:v>2.0799999999999999E-4</c:v>
                </c:pt>
                <c:pt idx="28">
                  <c:v>2.24E-4</c:v>
                </c:pt>
                <c:pt idx="29">
                  <c:v>2.4000000000000001E-4</c:v>
                </c:pt>
                <c:pt idx="30">
                  <c:v>2.5599999999999999E-4</c:v>
                </c:pt>
                <c:pt idx="31">
                  <c:v>2.8800000000000001E-4</c:v>
                </c:pt>
                <c:pt idx="32">
                  <c:v>3.2000000000000003E-4</c:v>
                </c:pt>
                <c:pt idx="33">
                  <c:v>3.5199999999999999E-4</c:v>
                </c:pt>
                <c:pt idx="34">
                  <c:v>3.8400000000000001E-4</c:v>
                </c:pt>
                <c:pt idx="35">
                  <c:v>4.1599999999999997E-4</c:v>
                </c:pt>
                <c:pt idx="36">
                  <c:v>4.4799999999999999E-4</c:v>
                </c:pt>
                <c:pt idx="37">
                  <c:v>4.8000000000000001E-4</c:v>
                </c:pt>
                <c:pt idx="38">
                  <c:v>5.1199999999999998E-4</c:v>
                </c:pt>
                <c:pt idx="39">
                  <c:v>5.7600000000000001E-4</c:v>
                </c:pt>
                <c:pt idx="40">
                  <c:v>6.4000000000000005E-4</c:v>
                </c:pt>
                <c:pt idx="41">
                  <c:v>7.0399999999999998E-4</c:v>
                </c:pt>
                <c:pt idx="42">
                  <c:v>7.6800000000000002E-4</c:v>
                </c:pt>
                <c:pt idx="43">
                  <c:v>8.3199999999999995E-4</c:v>
                </c:pt>
                <c:pt idx="44">
                  <c:v>8.9599999999999999E-4</c:v>
                </c:pt>
                <c:pt idx="45">
                  <c:v>9.6000000000000002E-4</c:v>
                </c:pt>
                <c:pt idx="46">
                  <c:v>1.024E-3</c:v>
                </c:pt>
                <c:pt idx="47">
                  <c:v>1.152E-3</c:v>
                </c:pt>
                <c:pt idx="48">
                  <c:v>1.2800000000000001E-3</c:v>
                </c:pt>
                <c:pt idx="49">
                  <c:v>1.408E-3</c:v>
                </c:pt>
                <c:pt idx="50">
                  <c:v>1.536E-3</c:v>
                </c:pt>
                <c:pt idx="51">
                  <c:v>1.6639999999999999E-3</c:v>
                </c:pt>
                <c:pt idx="52">
                  <c:v>1.792E-3</c:v>
                </c:pt>
                <c:pt idx="53">
                  <c:v>1.92E-3</c:v>
                </c:pt>
                <c:pt idx="54">
                  <c:v>2.0479999999999999E-3</c:v>
                </c:pt>
                <c:pt idx="55">
                  <c:v>2.3040000000000001E-3</c:v>
                </c:pt>
                <c:pt idx="56">
                  <c:v>2.5600000000000002E-3</c:v>
                </c:pt>
                <c:pt idx="57">
                  <c:v>2.8159999999999999E-3</c:v>
                </c:pt>
                <c:pt idx="58">
                  <c:v>3.0720000000000001E-3</c:v>
                </c:pt>
                <c:pt idx="59">
                  <c:v>3.3279999999999998E-3</c:v>
                </c:pt>
                <c:pt idx="60">
                  <c:v>3.5839999999999999E-3</c:v>
                </c:pt>
                <c:pt idx="61">
                  <c:v>3.8400000000000001E-3</c:v>
                </c:pt>
                <c:pt idx="62">
                  <c:v>4.0959999999999998E-3</c:v>
                </c:pt>
                <c:pt idx="63">
                  <c:v>4.6080000000000001E-3</c:v>
                </c:pt>
                <c:pt idx="64">
                  <c:v>5.1200000000000004E-3</c:v>
                </c:pt>
                <c:pt idx="65">
                  <c:v>5.6319999999999999E-3</c:v>
                </c:pt>
                <c:pt idx="66">
                  <c:v>6.1440000000000002E-3</c:v>
                </c:pt>
                <c:pt idx="67">
                  <c:v>6.6559999999999996E-3</c:v>
                </c:pt>
                <c:pt idx="68">
                  <c:v>7.1679999999999999E-3</c:v>
                </c:pt>
                <c:pt idx="69">
                  <c:v>7.6800000000000002E-3</c:v>
                </c:pt>
                <c:pt idx="70">
                  <c:v>8.1919999999999996E-3</c:v>
                </c:pt>
                <c:pt idx="71">
                  <c:v>9.2160000000000002E-3</c:v>
                </c:pt>
                <c:pt idx="72">
                  <c:v>1.0240000000000001E-2</c:v>
                </c:pt>
                <c:pt idx="73">
                  <c:v>1.1264E-2</c:v>
                </c:pt>
                <c:pt idx="74">
                  <c:v>1.2288E-2</c:v>
                </c:pt>
                <c:pt idx="75">
                  <c:v>1.3311999999999999E-2</c:v>
                </c:pt>
                <c:pt idx="76">
                  <c:v>1.4336E-2</c:v>
                </c:pt>
                <c:pt idx="77">
                  <c:v>1.536E-2</c:v>
                </c:pt>
                <c:pt idx="78">
                  <c:v>1.6383999999999999E-2</c:v>
                </c:pt>
                <c:pt idx="79">
                  <c:v>1.8432E-2</c:v>
                </c:pt>
                <c:pt idx="80">
                  <c:v>2.0480000000000002E-2</c:v>
                </c:pt>
                <c:pt idx="81">
                  <c:v>2.2527999999999999E-2</c:v>
                </c:pt>
                <c:pt idx="82">
                  <c:v>2.4576000000000001E-2</c:v>
                </c:pt>
                <c:pt idx="83">
                  <c:v>2.6623999999999998E-2</c:v>
                </c:pt>
                <c:pt idx="84">
                  <c:v>2.8672E-2</c:v>
                </c:pt>
                <c:pt idx="85">
                  <c:v>3.0720000000000001E-2</c:v>
                </c:pt>
                <c:pt idx="86">
                  <c:v>3.2767999999999999E-2</c:v>
                </c:pt>
                <c:pt idx="87">
                  <c:v>3.6864000000000001E-2</c:v>
                </c:pt>
                <c:pt idx="88">
                  <c:v>4.0960000000000003E-2</c:v>
                </c:pt>
                <c:pt idx="89">
                  <c:v>4.5055999999999999E-2</c:v>
                </c:pt>
                <c:pt idx="90">
                  <c:v>4.9152000000000001E-2</c:v>
                </c:pt>
                <c:pt idx="91">
                  <c:v>5.3247999999999997E-2</c:v>
                </c:pt>
                <c:pt idx="92">
                  <c:v>5.7343999999999999E-2</c:v>
                </c:pt>
                <c:pt idx="93">
                  <c:v>6.1440000000000002E-2</c:v>
                </c:pt>
                <c:pt idx="94">
                  <c:v>6.5535999999999997E-2</c:v>
                </c:pt>
                <c:pt idx="95">
                  <c:v>7.3728000000000002E-2</c:v>
                </c:pt>
                <c:pt idx="96">
                  <c:v>8.1920000000000007E-2</c:v>
                </c:pt>
                <c:pt idx="97">
                  <c:v>9.0111999999999998E-2</c:v>
                </c:pt>
                <c:pt idx="98">
                  <c:v>9.8304000000000002E-2</c:v>
                </c:pt>
                <c:pt idx="99">
                  <c:v>0.10649599999999999</c:v>
                </c:pt>
                <c:pt idx="100">
                  <c:v>0.114688</c:v>
                </c:pt>
                <c:pt idx="101">
                  <c:v>0.12288</c:v>
                </c:pt>
                <c:pt idx="102">
                  <c:v>0.13107199999999999</c:v>
                </c:pt>
                <c:pt idx="103">
                  <c:v>0.147456</c:v>
                </c:pt>
                <c:pt idx="104">
                  <c:v>0.16384000000000001</c:v>
                </c:pt>
                <c:pt idx="105">
                  <c:v>0.180224</c:v>
                </c:pt>
                <c:pt idx="106">
                  <c:v>0.196608</c:v>
                </c:pt>
                <c:pt idx="107">
                  <c:v>0.21299199999999999</c:v>
                </c:pt>
                <c:pt idx="108">
                  <c:v>0.229376</c:v>
                </c:pt>
                <c:pt idx="109">
                  <c:v>0.24576000000000001</c:v>
                </c:pt>
                <c:pt idx="110">
                  <c:v>0.26214399999999999</c:v>
                </c:pt>
                <c:pt idx="111">
                  <c:v>0.29491200000000001</c:v>
                </c:pt>
                <c:pt idx="112">
                  <c:v>0.32768000000000003</c:v>
                </c:pt>
                <c:pt idx="113">
                  <c:v>0.36044799999999999</c:v>
                </c:pt>
                <c:pt idx="114">
                  <c:v>0.39321600000000001</c:v>
                </c:pt>
                <c:pt idx="115">
                  <c:v>0.42598399999999997</c:v>
                </c:pt>
                <c:pt idx="116">
                  <c:v>0.45875199999999999</c:v>
                </c:pt>
                <c:pt idx="117">
                  <c:v>0.49152000000000001</c:v>
                </c:pt>
                <c:pt idx="118">
                  <c:v>0.52428799999999998</c:v>
                </c:pt>
                <c:pt idx="119">
                  <c:v>0.58982400000000001</c:v>
                </c:pt>
                <c:pt idx="120">
                  <c:v>0.65536000000000005</c:v>
                </c:pt>
                <c:pt idx="121">
                  <c:v>0.72089599999999998</c:v>
                </c:pt>
                <c:pt idx="122">
                  <c:v>0.78643200000000002</c:v>
                </c:pt>
                <c:pt idx="123">
                  <c:v>0.85196799999999995</c:v>
                </c:pt>
                <c:pt idx="124">
                  <c:v>0.91750399999999999</c:v>
                </c:pt>
                <c:pt idx="125">
                  <c:v>0.98304000000000002</c:v>
                </c:pt>
                <c:pt idx="126">
                  <c:v>1.048576</c:v>
                </c:pt>
                <c:pt idx="127">
                  <c:v>1.179648</c:v>
                </c:pt>
                <c:pt idx="128">
                  <c:v>1.3107200000000001</c:v>
                </c:pt>
                <c:pt idx="129">
                  <c:v>1.441792</c:v>
                </c:pt>
                <c:pt idx="130">
                  <c:v>1.572864</c:v>
                </c:pt>
                <c:pt idx="131">
                  <c:v>1.7039359999999999</c:v>
                </c:pt>
                <c:pt idx="132">
                  <c:v>1.835008</c:v>
                </c:pt>
                <c:pt idx="133">
                  <c:v>1.96608</c:v>
                </c:pt>
                <c:pt idx="134">
                  <c:v>2.0971519999999999</c:v>
                </c:pt>
                <c:pt idx="135">
                  <c:v>2.3592960000000001</c:v>
                </c:pt>
                <c:pt idx="136">
                  <c:v>2.6214400000000002</c:v>
                </c:pt>
                <c:pt idx="137">
                  <c:v>2.8835839999999999</c:v>
                </c:pt>
                <c:pt idx="138">
                  <c:v>3.1457280000000001</c:v>
                </c:pt>
                <c:pt idx="139">
                  <c:v>3.4078719999999998</c:v>
                </c:pt>
                <c:pt idx="140">
                  <c:v>3.6700159999999999</c:v>
                </c:pt>
                <c:pt idx="141">
                  <c:v>3.9321600000000001</c:v>
                </c:pt>
                <c:pt idx="142">
                  <c:v>4.1943039999999998</c:v>
                </c:pt>
                <c:pt idx="143">
                  <c:v>4.7185920000000001</c:v>
                </c:pt>
                <c:pt idx="144">
                  <c:v>5.2428800000000004</c:v>
                </c:pt>
                <c:pt idx="145">
                  <c:v>5.7671679999999999</c:v>
                </c:pt>
                <c:pt idx="146">
                  <c:v>6.2914560000000002</c:v>
                </c:pt>
                <c:pt idx="147">
                  <c:v>6.8157439999999996</c:v>
                </c:pt>
                <c:pt idx="148">
                  <c:v>7.3400319999999999</c:v>
                </c:pt>
                <c:pt idx="149">
                  <c:v>7.8643200000000002</c:v>
                </c:pt>
                <c:pt idx="150">
                  <c:v>8.3886079999999996</c:v>
                </c:pt>
                <c:pt idx="151">
                  <c:v>9.4371840000000002</c:v>
                </c:pt>
                <c:pt idx="152">
                  <c:v>10.485760000000001</c:v>
                </c:pt>
                <c:pt idx="153">
                  <c:v>11.534336</c:v>
                </c:pt>
                <c:pt idx="154">
                  <c:v>12.582912</c:v>
                </c:pt>
                <c:pt idx="155">
                  <c:v>13.631487999999999</c:v>
                </c:pt>
                <c:pt idx="156">
                  <c:v>14.680064</c:v>
                </c:pt>
                <c:pt idx="157">
                  <c:v>15.72864</c:v>
                </c:pt>
                <c:pt idx="158">
                  <c:v>16.777215999999999</c:v>
                </c:pt>
                <c:pt idx="159">
                  <c:v>18.874368</c:v>
                </c:pt>
                <c:pt idx="160">
                  <c:v>20.971520000000002</c:v>
                </c:pt>
                <c:pt idx="161">
                  <c:v>23.068671999999999</c:v>
                </c:pt>
                <c:pt idx="162">
                  <c:v>25.165824000000001</c:v>
                </c:pt>
                <c:pt idx="163">
                  <c:v>27.262975999999998</c:v>
                </c:pt>
                <c:pt idx="164">
                  <c:v>29.360128</c:v>
                </c:pt>
                <c:pt idx="165">
                  <c:v>31.457280000000001</c:v>
                </c:pt>
                <c:pt idx="166">
                  <c:v>33.554431999999998</c:v>
                </c:pt>
                <c:pt idx="167">
                  <c:v>37.748736000000001</c:v>
                </c:pt>
                <c:pt idx="168">
                  <c:v>41.943040000000003</c:v>
                </c:pt>
                <c:pt idx="169">
                  <c:v>46.137343999999999</c:v>
                </c:pt>
                <c:pt idx="170">
                  <c:v>50.331648000000001</c:v>
                </c:pt>
                <c:pt idx="171">
                  <c:v>54.525951999999997</c:v>
                </c:pt>
                <c:pt idx="172">
                  <c:v>58.720255999999999</c:v>
                </c:pt>
                <c:pt idx="173">
                  <c:v>62.914560000000002</c:v>
                </c:pt>
                <c:pt idx="174">
                  <c:v>67.108863999999997</c:v>
                </c:pt>
                <c:pt idx="175">
                  <c:v>75.497472000000002</c:v>
                </c:pt>
                <c:pt idx="176">
                  <c:v>83.886080000000007</c:v>
                </c:pt>
                <c:pt idx="177">
                  <c:v>92.274687999999998</c:v>
                </c:pt>
                <c:pt idx="178">
                  <c:v>100.663296</c:v>
                </c:pt>
                <c:pt idx="179">
                  <c:v>109.05190399999999</c:v>
                </c:pt>
                <c:pt idx="180">
                  <c:v>117.440512</c:v>
                </c:pt>
                <c:pt idx="181">
                  <c:v>125.82912</c:v>
                </c:pt>
                <c:pt idx="182">
                  <c:v>134.21772799999999</c:v>
                </c:pt>
                <c:pt idx="183">
                  <c:v>150.994944</c:v>
                </c:pt>
                <c:pt idx="184">
                  <c:v>167.77216000000001</c:v>
                </c:pt>
                <c:pt idx="185">
                  <c:v>184.549376</c:v>
                </c:pt>
                <c:pt idx="186">
                  <c:v>201.32659200000001</c:v>
                </c:pt>
                <c:pt idx="187">
                  <c:v>218.10380799999999</c:v>
                </c:pt>
                <c:pt idx="188">
                  <c:v>234.881024</c:v>
                </c:pt>
                <c:pt idx="189">
                  <c:v>251.65824000000001</c:v>
                </c:pt>
                <c:pt idx="190">
                  <c:v>268.43545599999999</c:v>
                </c:pt>
                <c:pt idx="191">
                  <c:v>301.98988800000001</c:v>
                </c:pt>
                <c:pt idx="192">
                  <c:v>335.54432000000003</c:v>
                </c:pt>
                <c:pt idx="193">
                  <c:v>369.09875199999999</c:v>
                </c:pt>
                <c:pt idx="194">
                  <c:v>402.65318400000001</c:v>
                </c:pt>
                <c:pt idx="195">
                  <c:v>436.20761599999997</c:v>
                </c:pt>
                <c:pt idx="196">
                  <c:v>469.76204799999999</c:v>
                </c:pt>
                <c:pt idx="197">
                  <c:v>503.31648000000001</c:v>
                </c:pt>
                <c:pt idx="198">
                  <c:v>536.87091199999998</c:v>
                </c:pt>
                <c:pt idx="199">
                  <c:v>603.97977600000002</c:v>
                </c:pt>
                <c:pt idx="200">
                  <c:v>671.08864000000005</c:v>
                </c:pt>
                <c:pt idx="201">
                  <c:v>738.19750399999998</c:v>
                </c:pt>
                <c:pt idx="202">
                  <c:v>805.30636800000002</c:v>
                </c:pt>
                <c:pt idx="203">
                  <c:v>872.41523199999995</c:v>
                </c:pt>
                <c:pt idx="204">
                  <c:v>939.52409599999999</c:v>
                </c:pt>
                <c:pt idx="205">
                  <c:v>1006.63296</c:v>
                </c:pt>
                <c:pt idx="206">
                  <c:v>1073.741824</c:v>
                </c:pt>
                <c:pt idx="207">
                  <c:v>1207.959552</c:v>
                </c:pt>
                <c:pt idx="208">
                  <c:v>1342.1772800000001</c:v>
                </c:pt>
                <c:pt idx="209">
                  <c:v>1476.395008</c:v>
                </c:pt>
                <c:pt idx="210">
                  <c:v>1610.612736</c:v>
                </c:pt>
                <c:pt idx="211">
                  <c:v>1744.8304639999999</c:v>
                </c:pt>
                <c:pt idx="212">
                  <c:v>1879.048192</c:v>
                </c:pt>
                <c:pt idx="213">
                  <c:v>2013.2659200000001</c:v>
                </c:pt>
                <c:pt idx="214">
                  <c:v>2147.4836479999999</c:v>
                </c:pt>
                <c:pt idx="215">
                  <c:v>2415.9191040000001</c:v>
                </c:pt>
                <c:pt idx="216">
                  <c:v>2684.3545600000002</c:v>
                </c:pt>
                <c:pt idx="217">
                  <c:v>2952.7900159999999</c:v>
                </c:pt>
                <c:pt idx="218">
                  <c:v>3221.2254720000001</c:v>
                </c:pt>
                <c:pt idx="219">
                  <c:v>3489.6609279999998</c:v>
                </c:pt>
                <c:pt idx="220">
                  <c:v>3758.0963839999999</c:v>
                </c:pt>
                <c:pt idx="221">
                  <c:v>4026.5318400000001</c:v>
                </c:pt>
                <c:pt idx="222">
                  <c:v>4294.9672959999998</c:v>
                </c:pt>
                <c:pt idx="223">
                  <c:v>4831.8382080000001</c:v>
                </c:pt>
                <c:pt idx="224">
                  <c:v>5368.7091200000004</c:v>
                </c:pt>
                <c:pt idx="225">
                  <c:v>5905.5800319999998</c:v>
                </c:pt>
                <c:pt idx="226">
                  <c:v>6442.4509440000002</c:v>
                </c:pt>
                <c:pt idx="227">
                  <c:v>6979.3218559999996</c:v>
                </c:pt>
                <c:pt idx="228">
                  <c:v>7516.1927679999999</c:v>
                </c:pt>
                <c:pt idx="229">
                  <c:v>8053.0636800000002</c:v>
                </c:pt>
                <c:pt idx="230">
                  <c:v>8589.9345919999996</c:v>
                </c:pt>
                <c:pt idx="231">
                  <c:v>9663.6764160000002</c:v>
                </c:pt>
                <c:pt idx="232">
                  <c:v>10737.418240000001</c:v>
                </c:pt>
                <c:pt idx="233">
                  <c:v>11811.160064</c:v>
                </c:pt>
                <c:pt idx="234">
                  <c:v>12884.901888</c:v>
                </c:pt>
                <c:pt idx="235">
                  <c:v>13958.643711999999</c:v>
                </c:pt>
                <c:pt idx="236">
                  <c:v>15032.385536</c:v>
                </c:pt>
                <c:pt idx="237">
                  <c:v>16106.12736</c:v>
                </c:pt>
                <c:pt idx="238">
                  <c:v>17179.869183999999</c:v>
                </c:pt>
                <c:pt idx="239">
                  <c:v>19327.352832</c:v>
                </c:pt>
                <c:pt idx="240">
                  <c:v>21474.836480000002</c:v>
                </c:pt>
                <c:pt idx="241">
                  <c:v>23622.320127999999</c:v>
                </c:pt>
                <c:pt idx="242">
                  <c:v>25769.803776000001</c:v>
                </c:pt>
                <c:pt idx="243">
                  <c:v>27917.287423999998</c:v>
                </c:pt>
              </c:numCache>
            </c:numRef>
          </c:xVal>
          <c:yVal>
            <c:numRef>
              <c:f>'2_Alexa488-IgG + Rh110'!$E$3:$E$200</c:f>
              <c:numCache>
                <c:formatCode>General</c:formatCode>
                <c:ptCount val="198"/>
                <c:pt idx="0">
                  <c:v>1.4117632467999184</c:v>
                </c:pt>
                <c:pt idx="1">
                  <c:v>1.4115920349719153</c:v>
                </c:pt>
                <c:pt idx="2">
                  <c:v>1.4114225417458184</c:v>
                </c:pt>
                <c:pt idx="3">
                  <c:v>1.411254747504062</c:v>
                </c:pt>
                <c:pt idx="4">
                  <c:v>1.4110886328549481</c:v>
                </c:pt>
                <c:pt idx="5">
                  <c:v>1.4109241786300419</c:v>
                </c:pt>
                <c:pt idx="6">
                  <c:v>1.4107613658816018</c:v>
                </c:pt>
                <c:pt idx="7">
                  <c:v>1.4106001758800348</c:v>
                </c:pt>
                <c:pt idx="8">
                  <c:v>1.4104405901113843</c:v>
                </c:pt>
                <c:pt idx="9">
                  <c:v>1.4102825902748459</c:v>
                </c:pt>
                <c:pt idx="10">
                  <c:v>1.4101261582803113</c:v>
                </c:pt>
                <c:pt idx="11">
                  <c:v>1.4099712762459407</c:v>
                </c:pt>
                <c:pt idx="12">
                  <c:v>1.4098179264957635</c:v>
                </c:pt>
                <c:pt idx="13">
                  <c:v>1.4096660915573069</c:v>
                </c:pt>
                <c:pt idx="14">
                  <c:v>1.4095157541592511</c:v>
                </c:pt>
                <c:pt idx="15">
                  <c:v>1.4092195038909479</c:v>
                </c:pt>
                <c:pt idx="16">
                  <c:v>1.4089290414559548</c:v>
                </c:pt>
                <c:pt idx="17">
                  <c:v>1.4086442356922517</c:v>
                </c:pt>
                <c:pt idx="18">
                  <c:v>1.408364958440302</c:v>
                </c:pt>
                <c:pt idx="19">
                  <c:v>1.4080910844742667</c:v>
                </c:pt>
                <c:pt idx="20">
                  <c:v>1.4078224914347981</c:v>
                </c:pt>
                <c:pt idx="21">
                  <c:v>1.40755905976337</c:v>
                </c:pt>
                <c:pt idx="22">
                  <c:v>1.4073006726381148</c:v>
                </c:pt>
                <c:pt idx="23">
                  <c:v>1.4067985780472168</c:v>
                </c:pt>
                <c:pt idx="24">
                  <c:v>1.406315325473606</c:v>
                </c:pt>
                <c:pt idx="25">
                  <c:v>1.4058500726494243</c:v>
                </c:pt>
                <c:pt idx="26">
                  <c:v>1.4054020154193394</c:v>
                </c:pt>
                <c:pt idx="27">
                  <c:v>1.4049703860143337</c:v>
                </c:pt>
                <c:pt idx="28">
                  <c:v>1.4045544514036814</c:v>
                </c:pt>
                <c:pt idx="29">
                  <c:v>1.4041535117215747</c:v>
                </c:pt>
                <c:pt idx="30">
                  <c:v>1.403766898765018</c:v>
                </c:pt>
                <c:pt idx="31">
                  <c:v>1.4030341299911875</c:v>
                </c:pt>
                <c:pt idx="32">
                  <c:v>1.4023513798204446</c:v>
                </c:pt>
                <c:pt idx="33">
                  <c:v>1.4017143043177833</c:v>
                </c:pt>
                <c:pt idx="34">
                  <c:v>1.4011189435746332</c:v>
                </c:pt>
                <c:pt idx="35">
                  <c:v>1.4005616877111187</c:v>
                </c:pt>
                <c:pt idx="36">
                  <c:v>1.4000392458884674</c:v>
                </c:pt>
                <c:pt idx="37">
                  <c:v>1.3995486180650456</c:v>
                </c:pt>
                <c:pt idx="38">
                  <c:v>1.3990870692531017</c:v>
                </c:pt>
                <c:pt idx="39">
                  <c:v>1.3982414552757458</c:v>
                </c:pt>
                <c:pt idx="40">
                  <c:v>1.3974849839831833</c:v>
                </c:pt>
                <c:pt idx="41">
                  <c:v>1.396803175095338</c:v>
                </c:pt>
                <c:pt idx="42">
                  <c:v>1.3961839906264881</c:v>
                </c:pt>
                <c:pt idx="43">
                  <c:v>1.3956174216652801</c:v>
                </c:pt>
                <c:pt idx="44">
                  <c:v>1.3950951450870126</c:v>
                </c:pt>
                <c:pt idx="45">
                  <c:v>1.3946102383627546</c:v>
                </c:pt>
                <c:pt idx="46">
                  <c:v>1.394156942632931</c:v>
                </c:pt>
                <c:pt idx="47">
                  <c:v>1.3933268193936161</c:v>
                </c:pt>
                <c:pt idx="48">
                  <c:v>1.3925752869392389</c:v>
                </c:pt>
                <c:pt idx="49">
                  <c:v>1.3918818841107514</c:v>
                </c:pt>
                <c:pt idx="50">
                  <c:v>1.3912323830459536</c:v>
                </c:pt>
                <c:pt idx="51">
                  <c:v>1.3906168608042218</c:v>
                </c:pt>
                <c:pt idx="52">
                  <c:v>1.3900283683955359</c:v>
                </c:pt>
                <c:pt idx="53">
                  <c:v>1.3894620121166992</c:v>
                </c:pt>
                <c:pt idx="54">
                  <c:v>1.3889143194480393</c:v>
                </c:pt>
                <c:pt idx="55">
                  <c:v>1.3878656500746578</c:v>
                </c:pt>
                <c:pt idx="56">
                  <c:v>1.3868694365623859</c:v>
                </c:pt>
                <c:pt idx="57">
                  <c:v>1.3859183763982381</c:v>
                </c:pt>
                <c:pt idx="58">
                  <c:v>1.3850079070844499</c:v>
                </c:pt>
                <c:pt idx="59">
                  <c:v>1.3841348303482481</c:v>
                </c:pt>
                <c:pt idx="60">
                  <c:v>1.3832966535937627</c:v>
                </c:pt>
                <c:pt idx="61">
                  <c:v>1.3824912731702004</c:v>
                </c:pt>
                <c:pt idx="62">
                  <c:v>1.3817168206221992</c:v>
                </c:pt>
                <c:pt idx="63">
                  <c:v>1.3802539827527611</c:v>
                </c:pt>
                <c:pt idx="64">
                  <c:v>1.3788957952296903</c:v>
                </c:pt>
                <c:pt idx="65">
                  <c:v>1.3776313467412071</c:v>
                </c:pt>
                <c:pt idx="66">
                  <c:v>1.3764509105293159</c:v>
                </c:pt>
                <c:pt idx="67">
                  <c:v>1.3753457967123854</c:v>
                </c:pt>
                <c:pt idx="68">
                  <c:v>1.3743082372573805</c:v>
                </c:pt>
                <c:pt idx="69">
                  <c:v>1.3733312870165366</c:v>
                </c:pt>
                <c:pt idx="70">
                  <c:v>1.3724087361458457</c:v>
                </c:pt>
                <c:pt idx="71">
                  <c:v>1.3707052094889427</c:v>
                </c:pt>
                <c:pt idx="72">
                  <c:v>1.3691599185660008</c:v>
                </c:pt>
                <c:pt idx="73">
                  <c:v>1.3677426828413515</c:v>
                </c:pt>
                <c:pt idx="74">
                  <c:v>1.3664293614550438</c:v>
                </c:pt>
                <c:pt idx="75">
                  <c:v>1.365200639984284</c:v>
                </c:pt>
                <c:pt idx="76">
                  <c:v>1.3640410610776963</c:v>
                </c:pt>
                <c:pt idx="77">
                  <c:v>1.3629382499228333</c:v>
                </c:pt>
                <c:pt idx="78">
                  <c:v>1.3618822953723877</c:v>
                </c:pt>
                <c:pt idx="79">
                  <c:v>1.3598807621233049</c:v>
                </c:pt>
                <c:pt idx="80">
                  <c:v>1.3579899823693251</c:v>
                </c:pt>
                <c:pt idx="81">
                  <c:v>1.3561799799751613</c:v>
                </c:pt>
                <c:pt idx="82">
                  <c:v>1.354431329569715</c:v>
                </c:pt>
                <c:pt idx="83">
                  <c:v>1.3527313550800475</c:v>
                </c:pt>
                <c:pt idx="84">
                  <c:v>1.3510717014724463</c:v>
                </c:pt>
                <c:pt idx="85">
                  <c:v>1.3494467833966963</c:v>
                </c:pt>
                <c:pt idx="86">
                  <c:v>1.3478527938543337</c:v>
                </c:pt>
                <c:pt idx="87">
                  <c:v>1.3447476907426075</c:v>
                </c:pt>
                <c:pt idx="88">
                  <c:v>1.34174250629317</c:v>
                </c:pt>
                <c:pt idx="89">
                  <c:v>1.338828873698495</c:v>
                </c:pt>
                <c:pt idx="90">
                  <c:v>1.3360008621135835</c:v>
                </c:pt>
                <c:pt idx="91">
                  <c:v>1.3332537025949118</c:v>
                </c:pt>
                <c:pt idx="92">
                  <c:v>1.3305832540801443</c:v>
                </c:pt>
                <c:pt idx="93">
                  <c:v>1.3279857728929765</c:v>
                </c:pt>
                <c:pt idx="94">
                  <c:v>1.3254578073988643</c:v>
                </c:pt>
                <c:pt idx="95">
                  <c:v>1.320597780402468</c:v>
                </c:pt>
                <c:pt idx="96">
                  <c:v>1.3159798453925029</c:v>
                </c:pt>
                <c:pt idx="97">
                  <c:v>1.3115834296615474</c:v>
                </c:pt>
                <c:pt idx="98">
                  <c:v>1.3073902966923192</c:v>
                </c:pt>
                <c:pt idx="99">
                  <c:v>1.3033842184270032</c:v>
                </c:pt>
                <c:pt idx="100">
                  <c:v>1.2995507041446539</c:v>
                </c:pt>
                <c:pt idx="101">
                  <c:v>1.2958767726341867</c:v>
                </c:pt>
                <c:pt idx="102">
                  <c:v>1.292350759421331</c:v>
                </c:pt>
                <c:pt idx="103">
                  <c:v>1.2857014540770688</c:v>
                </c:pt>
                <c:pt idx="104">
                  <c:v>1.2795301450965852</c:v>
                </c:pt>
                <c:pt idx="105">
                  <c:v>1.2737769331631272</c:v>
                </c:pt>
                <c:pt idx="106">
                  <c:v>1.2683919632774667</c:v>
                </c:pt>
                <c:pt idx="107">
                  <c:v>1.2633333847594161</c:v>
                </c:pt>
                <c:pt idx="108">
                  <c:v>1.2585657900039551</c:v>
                </c:pt>
                <c:pt idx="109">
                  <c:v>1.2540590057877881</c:v>
                </c:pt>
                <c:pt idx="110">
                  <c:v>1.2497871475672453</c:v>
                </c:pt>
                <c:pt idx="111">
                  <c:v>1.2418617827908578</c:v>
                </c:pt>
                <c:pt idx="112">
                  <c:v>1.2346435191792544</c:v>
                </c:pt>
                <c:pt idx="113">
                  <c:v>1.2280200202375373</c:v>
                </c:pt>
                <c:pt idx="114">
                  <c:v>1.221903349650181</c:v>
                </c:pt>
                <c:pt idx="115">
                  <c:v>1.2162235408443276</c:v>
                </c:pt>
                <c:pt idx="116">
                  <c:v>1.2109241114610667</c:v>
                </c:pt>
                <c:pt idx="117">
                  <c:v>1.2059588680649527</c:v>
                </c:pt>
                <c:pt idx="118">
                  <c:v>1.2012895868635618</c:v>
                </c:pt>
                <c:pt idx="119">
                  <c:v>1.192716020546029</c:v>
                </c:pt>
                <c:pt idx="120">
                  <c:v>1.1850017480076782</c:v>
                </c:pt>
                <c:pt idx="121">
                  <c:v>1.1779984256913534</c:v>
                </c:pt>
                <c:pt idx="122">
                  <c:v>1.1715937348830494</c:v>
                </c:pt>
                <c:pt idx="123">
                  <c:v>1.1657005253803603</c:v>
                </c:pt>
                <c:pt idx="124">
                  <c:v>1.1602497454521066</c:v>
                </c:pt>
                <c:pt idx="125">
                  <c:v>1.1551856883001412</c:v>
                </c:pt>
                <c:pt idx="126">
                  <c:v>1.1504627055367715</c:v>
                </c:pt>
                <c:pt idx="127">
                  <c:v>1.1418943300461692</c:v>
                </c:pt>
                <c:pt idx="128">
                  <c:v>1.1343066109730542</c:v>
                </c:pt>
                <c:pt idx="129">
                  <c:v>1.1275250926158042</c:v>
                </c:pt>
                <c:pt idx="130">
                  <c:v>1.1214177172484321</c:v>
                </c:pt>
                <c:pt idx="131">
                  <c:v>1.1158819075100774</c:v>
                </c:pt>
                <c:pt idx="132">
                  <c:v>1.1108362900029725</c:v>
                </c:pt>
                <c:pt idx="133">
                  <c:v>1.1062151756999401</c:v>
                </c:pt>
                <c:pt idx="134">
                  <c:v>1.1019647525233245</c:v>
                </c:pt>
                <c:pt idx="135">
                  <c:v>1.0944046358378854</c:v>
                </c:pt>
                <c:pt idx="136">
                  <c:v>1.08787691930327</c:v>
                </c:pt>
                <c:pt idx="137">
                  <c:v>1.0821789066338088</c:v>
                </c:pt>
                <c:pt idx="138">
                  <c:v>1.0771590466052179</c:v>
                </c:pt>
                <c:pt idx="139">
                  <c:v>1.0727013584779219</c:v>
                </c:pt>
                <c:pt idx="140">
                  <c:v>1.068715351850805</c:v>
                </c:pt>
                <c:pt idx="141">
                  <c:v>1.0651292599065558</c:v>
                </c:pt>
                <c:pt idx="142">
                  <c:v>1.0618853580787944</c:v>
                </c:pt>
                <c:pt idx="143">
                  <c:v>1.0562444216466225</c:v>
                </c:pt>
                <c:pt idx="144">
                  <c:v>1.0515060297043541</c:v>
                </c:pt>
                <c:pt idx="145">
                  <c:v>1.0474694135583063</c:v>
                </c:pt>
                <c:pt idx="146">
                  <c:v>1.0439895045738734</c:v>
                </c:pt>
                <c:pt idx="147">
                  <c:v>1.0409587737579566</c:v>
                </c:pt>
                <c:pt idx="148">
                  <c:v>1.0382957777042048</c:v>
                </c:pt>
                <c:pt idx="149">
                  <c:v>1.0359376747738376</c:v>
                </c:pt>
                <c:pt idx="150">
                  <c:v>1.0338351869668365</c:v>
                </c:pt>
                <c:pt idx="151">
                  <c:v>1.0302479045953166</c:v>
                </c:pt>
                <c:pt idx="152">
                  <c:v>1.0273017267191691</c:v>
                </c:pt>
                <c:pt idx="153">
                  <c:v>1.0248400417279213</c:v>
                </c:pt>
                <c:pt idx="154">
                  <c:v>1.0227533654831351</c:v>
                </c:pt>
                <c:pt idx="155">
                  <c:v>1.0209628491780585</c:v>
                </c:pt>
                <c:pt idx="156">
                  <c:v>1.0194102640986678</c:v>
                </c:pt>
                <c:pt idx="157">
                  <c:v>1.0180516758774105</c:v>
                </c:pt>
                <c:pt idx="158">
                  <c:v>1.0168533134106437</c:v>
                </c:pt>
                <c:pt idx="159">
                  <c:v>1.014837201458284</c:v>
                </c:pt>
                <c:pt idx="160">
                  <c:v>1.013208823629512</c:v>
                </c:pt>
                <c:pt idx="161">
                  <c:v>1.0118677091628174</c:v>
                </c:pt>
                <c:pt idx="162">
                  <c:v>1.0107452137829562</c:v>
                </c:pt>
                <c:pt idx="163">
                  <c:v>1.0097928567958503</c:v>
                </c:pt>
                <c:pt idx="164">
                  <c:v>1.0089754344516864</c:v>
                </c:pt>
                <c:pt idx="165">
                  <c:v>1.0082667737568232</c:v>
                </c:pt>
                <c:pt idx="166">
                  <c:v>1.0076470168338918</c:v>
                </c:pt>
                <c:pt idx="167">
                  <c:v>1.0066161829259643</c:v>
                </c:pt>
                <c:pt idx="168">
                  <c:v>1.0057951317843101</c:v>
                </c:pt>
                <c:pt idx="169">
                  <c:v>1.0051272712740393</c:v>
                </c:pt>
                <c:pt idx="170">
                  <c:v>1.0045745199322873</c:v>
                </c:pt>
                <c:pt idx="171">
                  <c:v>1.0041103350442551</c:v>
                </c:pt>
                <c:pt idx="172">
                  <c:v>1.0037156666094937</c:v>
                </c:pt>
                <c:pt idx="173">
                  <c:v>1.0033764992976202</c:v>
                </c:pt>
                <c:pt idx="174">
                  <c:v>1.0030823005259144</c:v>
                </c:pt>
                <c:pt idx="175">
                  <c:v>1.0025983496313748</c:v>
                </c:pt>
                <c:pt idx="176">
                  <c:v>1.0022181346228931</c:v>
                </c:pt>
                <c:pt idx="177">
                  <c:v>1.0019126429183518</c:v>
                </c:pt>
                <c:pt idx="178">
                  <c:v>1.0016626069851176</c:v>
                </c:pt>
                <c:pt idx="179">
                  <c:v>1.0014547572607937</c:v>
                </c:pt>
                <c:pt idx="180">
                  <c:v>1.0012796744258954</c:v>
                </c:pt>
                <c:pt idx="181">
                  <c:v>1.0011304990934742</c:v>
                </c:pt>
                <c:pt idx="182">
                  <c:v>1.0010021254165782</c:v>
                </c:pt>
                <c:pt idx="183">
                  <c:v>1.0007931746455363</c:v>
                </c:pt>
                <c:pt idx="184">
                  <c:v>1.0006311131220371</c:v>
                </c:pt>
                <c:pt idx="185">
                  <c:v>1.0005023637613883</c:v>
                </c:pt>
                <c:pt idx="186">
                  <c:v>1.0003980340574021</c:v>
                </c:pt>
                <c:pt idx="187">
                  <c:v>1.0003120761375779</c:v>
                </c:pt>
                <c:pt idx="188">
                  <c:v>1.0002402457456672</c:v>
                </c:pt>
                <c:pt idx="189">
                  <c:v>1.0001794842536162</c:v>
                </c:pt>
                <c:pt idx="190">
                  <c:v>1.0001275367009694</c:v>
                </c:pt>
                <c:pt idx="191">
                  <c:v>1.000043699232201</c:v>
                </c:pt>
                <c:pt idx="192">
                  <c:v>0.99997932856319904</c:v>
                </c:pt>
                <c:pt idx="193">
                  <c:v>0.99992862740183808</c:v>
                </c:pt>
                <c:pt idx="194">
                  <c:v>0.99988784611601067</c:v>
                </c:pt>
                <c:pt idx="195">
                  <c:v>0.99985446243387455</c:v>
                </c:pt>
                <c:pt idx="196">
                  <c:v>0.99982672338314404</c:v>
                </c:pt>
                <c:pt idx="197">
                  <c:v>0.99980337654130413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620-425E-91DF-6E52A499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0240"/>
        <c:axId val="159372032"/>
      </c:scatterChart>
      <c:valAx>
        <c:axId val="159370240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9372032"/>
        <c:crosses val="autoZero"/>
        <c:crossBetween val="midCat"/>
      </c:valAx>
      <c:valAx>
        <c:axId val="159372032"/>
        <c:scaling>
          <c:orientation val="minMax"/>
          <c:min val="0.9500000000000000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9370240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76737162359209599"/>
          <c:y val="8.4598698481561818E-2"/>
          <c:w val="0.12235652975810463"/>
          <c:h val="0.1041214750542299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5555555555561E-2"/>
          <c:y val="5.1400554097404488E-2"/>
          <c:w val="0.86130979851083567"/>
          <c:h val="0.832619568387284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'2_Alexa488-IgG + Rh110'!$F$1</c:f>
              <c:strCache>
                <c:ptCount val="1"/>
                <c:pt idx="0">
                  <c:v>res</c:v>
                </c:pt>
              </c:strCache>
            </c:strRef>
          </c:tx>
          <c:marker>
            <c:symbol val="none"/>
          </c:marker>
          <c:xVal>
            <c:numRef>
              <c:f>'2_Alexa488-IgG + Rh110'!$A$5:$A$190</c:f>
              <c:numCache>
                <c:formatCode>General</c:formatCode>
                <c:ptCount val="186"/>
                <c:pt idx="0">
                  <c:v>1.5999999999999999E-5</c:v>
                </c:pt>
                <c:pt idx="1">
                  <c:v>2.0000000000000002E-5</c:v>
                </c:pt>
                <c:pt idx="2">
                  <c:v>2.4000000000000001E-5</c:v>
                </c:pt>
                <c:pt idx="3">
                  <c:v>2.8E-5</c:v>
                </c:pt>
                <c:pt idx="4">
                  <c:v>3.1999999999999999E-5</c:v>
                </c:pt>
                <c:pt idx="5">
                  <c:v>3.6000000000000001E-5</c:v>
                </c:pt>
                <c:pt idx="6">
                  <c:v>4.0000000000000003E-5</c:v>
                </c:pt>
                <c:pt idx="7">
                  <c:v>4.3999999999999999E-5</c:v>
                </c:pt>
                <c:pt idx="8">
                  <c:v>4.8000000000000001E-5</c:v>
                </c:pt>
                <c:pt idx="9">
                  <c:v>5.1999999999999997E-5</c:v>
                </c:pt>
                <c:pt idx="10">
                  <c:v>5.5999999999999999E-5</c:v>
                </c:pt>
                <c:pt idx="11">
                  <c:v>6.0000000000000002E-5</c:v>
                </c:pt>
                <c:pt idx="12">
                  <c:v>6.3999999999999997E-5</c:v>
                </c:pt>
                <c:pt idx="13">
                  <c:v>7.2000000000000002E-5</c:v>
                </c:pt>
                <c:pt idx="14">
                  <c:v>8.0000000000000007E-5</c:v>
                </c:pt>
                <c:pt idx="15">
                  <c:v>8.7999999999999998E-5</c:v>
                </c:pt>
                <c:pt idx="16">
                  <c:v>9.6000000000000002E-5</c:v>
                </c:pt>
                <c:pt idx="17">
                  <c:v>1.0399999999999999E-4</c:v>
                </c:pt>
                <c:pt idx="18">
                  <c:v>1.12E-4</c:v>
                </c:pt>
                <c:pt idx="19">
                  <c:v>1.2E-4</c:v>
                </c:pt>
                <c:pt idx="20">
                  <c:v>1.2799999999999999E-4</c:v>
                </c:pt>
                <c:pt idx="21">
                  <c:v>1.44E-4</c:v>
                </c:pt>
                <c:pt idx="22">
                  <c:v>1.6000000000000001E-4</c:v>
                </c:pt>
                <c:pt idx="23">
                  <c:v>1.76E-4</c:v>
                </c:pt>
                <c:pt idx="24">
                  <c:v>1.92E-4</c:v>
                </c:pt>
                <c:pt idx="25">
                  <c:v>2.0799999999999999E-4</c:v>
                </c:pt>
                <c:pt idx="26">
                  <c:v>2.24E-4</c:v>
                </c:pt>
                <c:pt idx="27">
                  <c:v>2.4000000000000001E-4</c:v>
                </c:pt>
                <c:pt idx="28">
                  <c:v>2.5599999999999999E-4</c:v>
                </c:pt>
                <c:pt idx="29">
                  <c:v>2.8800000000000001E-4</c:v>
                </c:pt>
                <c:pt idx="30">
                  <c:v>3.2000000000000003E-4</c:v>
                </c:pt>
                <c:pt idx="31">
                  <c:v>3.5199999999999999E-4</c:v>
                </c:pt>
                <c:pt idx="32">
                  <c:v>3.8400000000000001E-4</c:v>
                </c:pt>
                <c:pt idx="33">
                  <c:v>4.1599999999999997E-4</c:v>
                </c:pt>
                <c:pt idx="34">
                  <c:v>4.4799999999999999E-4</c:v>
                </c:pt>
                <c:pt idx="35">
                  <c:v>4.8000000000000001E-4</c:v>
                </c:pt>
                <c:pt idx="36">
                  <c:v>5.1199999999999998E-4</c:v>
                </c:pt>
                <c:pt idx="37">
                  <c:v>5.7600000000000001E-4</c:v>
                </c:pt>
                <c:pt idx="38">
                  <c:v>6.4000000000000005E-4</c:v>
                </c:pt>
                <c:pt idx="39">
                  <c:v>7.0399999999999998E-4</c:v>
                </c:pt>
                <c:pt idx="40">
                  <c:v>7.6800000000000002E-4</c:v>
                </c:pt>
                <c:pt idx="41">
                  <c:v>8.3199999999999995E-4</c:v>
                </c:pt>
                <c:pt idx="42">
                  <c:v>8.9599999999999999E-4</c:v>
                </c:pt>
                <c:pt idx="43">
                  <c:v>9.6000000000000002E-4</c:v>
                </c:pt>
                <c:pt idx="44">
                  <c:v>1.024E-3</c:v>
                </c:pt>
                <c:pt idx="45">
                  <c:v>1.152E-3</c:v>
                </c:pt>
                <c:pt idx="46">
                  <c:v>1.2800000000000001E-3</c:v>
                </c:pt>
                <c:pt idx="47">
                  <c:v>1.408E-3</c:v>
                </c:pt>
                <c:pt idx="48">
                  <c:v>1.536E-3</c:v>
                </c:pt>
                <c:pt idx="49">
                  <c:v>1.6639999999999999E-3</c:v>
                </c:pt>
                <c:pt idx="50">
                  <c:v>1.792E-3</c:v>
                </c:pt>
                <c:pt idx="51">
                  <c:v>1.92E-3</c:v>
                </c:pt>
                <c:pt idx="52">
                  <c:v>2.0479999999999999E-3</c:v>
                </c:pt>
                <c:pt idx="53">
                  <c:v>2.3040000000000001E-3</c:v>
                </c:pt>
                <c:pt idx="54">
                  <c:v>2.5600000000000002E-3</c:v>
                </c:pt>
                <c:pt idx="55">
                  <c:v>2.8159999999999999E-3</c:v>
                </c:pt>
                <c:pt idx="56">
                  <c:v>3.0720000000000001E-3</c:v>
                </c:pt>
                <c:pt idx="57">
                  <c:v>3.3279999999999998E-3</c:v>
                </c:pt>
                <c:pt idx="58">
                  <c:v>3.5839999999999999E-3</c:v>
                </c:pt>
                <c:pt idx="59">
                  <c:v>3.8400000000000001E-3</c:v>
                </c:pt>
                <c:pt idx="60">
                  <c:v>4.0959999999999998E-3</c:v>
                </c:pt>
                <c:pt idx="61">
                  <c:v>4.6080000000000001E-3</c:v>
                </c:pt>
                <c:pt idx="62">
                  <c:v>5.1200000000000004E-3</c:v>
                </c:pt>
                <c:pt idx="63">
                  <c:v>5.6319999999999999E-3</c:v>
                </c:pt>
                <c:pt idx="64">
                  <c:v>6.1440000000000002E-3</c:v>
                </c:pt>
                <c:pt idx="65">
                  <c:v>6.6559999999999996E-3</c:v>
                </c:pt>
                <c:pt idx="66">
                  <c:v>7.1679999999999999E-3</c:v>
                </c:pt>
                <c:pt idx="67">
                  <c:v>7.6800000000000002E-3</c:v>
                </c:pt>
                <c:pt idx="68">
                  <c:v>8.1919999999999996E-3</c:v>
                </c:pt>
                <c:pt idx="69">
                  <c:v>9.2160000000000002E-3</c:v>
                </c:pt>
                <c:pt idx="70">
                  <c:v>1.0240000000000001E-2</c:v>
                </c:pt>
                <c:pt idx="71">
                  <c:v>1.1264E-2</c:v>
                </c:pt>
                <c:pt idx="72">
                  <c:v>1.2288E-2</c:v>
                </c:pt>
                <c:pt idx="73">
                  <c:v>1.3311999999999999E-2</c:v>
                </c:pt>
                <c:pt idx="74">
                  <c:v>1.4336E-2</c:v>
                </c:pt>
                <c:pt idx="75">
                  <c:v>1.536E-2</c:v>
                </c:pt>
                <c:pt idx="76">
                  <c:v>1.6383999999999999E-2</c:v>
                </c:pt>
                <c:pt idx="77">
                  <c:v>1.8432E-2</c:v>
                </c:pt>
                <c:pt idx="78">
                  <c:v>2.0480000000000002E-2</c:v>
                </c:pt>
                <c:pt idx="79">
                  <c:v>2.2527999999999999E-2</c:v>
                </c:pt>
                <c:pt idx="80">
                  <c:v>2.4576000000000001E-2</c:v>
                </c:pt>
                <c:pt idx="81">
                  <c:v>2.6623999999999998E-2</c:v>
                </c:pt>
                <c:pt idx="82">
                  <c:v>2.8672E-2</c:v>
                </c:pt>
                <c:pt idx="83">
                  <c:v>3.0720000000000001E-2</c:v>
                </c:pt>
                <c:pt idx="84">
                  <c:v>3.2767999999999999E-2</c:v>
                </c:pt>
                <c:pt idx="85">
                  <c:v>3.6864000000000001E-2</c:v>
                </c:pt>
                <c:pt idx="86">
                  <c:v>4.0960000000000003E-2</c:v>
                </c:pt>
                <c:pt idx="87">
                  <c:v>4.5055999999999999E-2</c:v>
                </c:pt>
                <c:pt idx="88">
                  <c:v>4.9152000000000001E-2</c:v>
                </c:pt>
                <c:pt idx="89">
                  <c:v>5.3247999999999997E-2</c:v>
                </c:pt>
                <c:pt idx="90">
                  <c:v>5.7343999999999999E-2</c:v>
                </c:pt>
                <c:pt idx="91">
                  <c:v>6.1440000000000002E-2</c:v>
                </c:pt>
                <c:pt idx="92">
                  <c:v>6.5535999999999997E-2</c:v>
                </c:pt>
                <c:pt idx="93">
                  <c:v>7.3728000000000002E-2</c:v>
                </c:pt>
                <c:pt idx="94">
                  <c:v>8.1920000000000007E-2</c:v>
                </c:pt>
                <c:pt idx="95">
                  <c:v>9.0111999999999998E-2</c:v>
                </c:pt>
                <c:pt idx="96">
                  <c:v>9.8304000000000002E-2</c:v>
                </c:pt>
                <c:pt idx="97">
                  <c:v>0.10649599999999999</c:v>
                </c:pt>
                <c:pt idx="98">
                  <c:v>0.114688</c:v>
                </c:pt>
                <c:pt idx="99">
                  <c:v>0.12288</c:v>
                </c:pt>
                <c:pt idx="100">
                  <c:v>0.13107199999999999</c:v>
                </c:pt>
                <c:pt idx="101">
                  <c:v>0.147456</c:v>
                </c:pt>
                <c:pt idx="102">
                  <c:v>0.16384000000000001</c:v>
                </c:pt>
                <c:pt idx="103">
                  <c:v>0.180224</c:v>
                </c:pt>
                <c:pt idx="104">
                  <c:v>0.196608</c:v>
                </c:pt>
                <c:pt idx="105">
                  <c:v>0.21299199999999999</c:v>
                </c:pt>
                <c:pt idx="106">
                  <c:v>0.229376</c:v>
                </c:pt>
                <c:pt idx="107">
                  <c:v>0.24576000000000001</c:v>
                </c:pt>
                <c:pt idx="108">
                  <c:v>0.26214399999999999</c:v>
                </c:pt>
                <c:pt idx="109">
                  <c:v>0.29491200000000001</c:v>
                </c:pt>
                <c:pt idx="110">
                  <c:v>0.32768000000000003</c:v>
                </c:pt>
                <c:pt idx="111">
                  <c:v>0.36044799999999999</c:v>
                </c:pt>
                <c:pt idx="112">
                  <c:v>0.39321600000000001</c:v>
                </c:pt>
                <c:pt idx="113">
                  <c:v>0.42598399999999997</c:v>
                </c:pt>
                <c:pt idx="114">
                  <c:v>0.45875199999999999</c:v>
                </c:pt>
                <c:pt idx="115">
                  <c:v>0.49152000000000001</c:v>
                </c:pt>
                <c:pt idx="116">
                  <c:v>0.52428799999999998</c:v>
                </c:pt>
                <c:pt idx="117">
                  <c:v>0.58982400000000001</c:v>
                </c:pt>
                <c:pt idx="118">
                  <c:v>0.65536000000000005</c:v>
                </c:pt>
                <c:pt idx="119">
                  <c:v>0.72089599999999998</c:v>
                </c:pt>
                <c:pt idx="120">
                  <c:v>0.78643200000000002</c:v>
                </c:pt>
                <c:pt idx="121">
                  <c:v>0.85196799999999995</c:v>
                </c:pt>
                <c:pt idx="122">
                  <c:v>0.91750399999999999</c:v>
                </c:pt>
                <c:pt idx="123">
                  <c:v>0.98304000000000002</c:v>
                </c:pt>
                <c:pt idx="124">
                  <c:v>1.048576</c:v>
                </c:pt>
                <c:pt idx="125">
                  <c:v>1.179648</c:v>
                </c:pt>
                <c:pt idx="126">
                  <c:v>1.3107200000000001</c:v>
                </c:pt>
                <c:pt idx="127">
                  <c:v>1.441792</c:v>
                </c:pt>
                <c:pt idx="128">
                  <c:v>1.572864</c:v>
                </c:pt>
                <c:pt idx="129">
                  <c:v>1.7039359999999999</c:v>
                </c:pt>
                <c:pt idx="130">
                  <c:v>1.835008</c:v>
                </c:pt>
                <c:pt idx="131">
                  <c:v>1.96608</c:v>
                </c:pt>
                <c:pt idx="132">
                  <c:v>2.0971519999999999</c:v>
                </c:pt>
                <c:pt idx="133">
                  <c:v>2.3592960000000001</c:v>
                </c:pt>
                <c:pt idx="134">
                  <c:v>2.6214400000000002</c:v>
                </c:pt>
                <c:pt idx="135">
                  <c:v>2.8835839999999999</c:v>
                </c:pt>
                <c:pt idx="136">
                  <c:v>3.1457280000000001</c:v>
                </c:pt>
                <c:pt idx="137">
                  <c:v>3.4078719999999998</c:v>
                </c:pt>
                <c:pt idx="138">
                  <c:v>3.6700159999999999</c:v>
                </c:pt>
                <c:pt idx="139">
                  <c:v>3.9321600000000001</c:v>
                </c:pt>
                <c:pt idx="140">
                  <c:v>4.1943039999999998</c:v>
                </c:pt>
                <c:pt idx="141">
                  <c:v>4.7185920000000001</c:v>
                </c:pt>
                <c:pt idx="142">
                  <c:v>5.2428800000000004</c:v>
                </c:pt>
                <c:pt idx="143">
                  <c:v>5.7671679999999999</c:v>
                </c:pt>
                <c:pt idx="144">
                  <c:v>6.2914560000000002</c:v>
                </c:pt>
                <c:pt idx="145">
                  <c:v>6.8157439999999996</c:v>
                </c:pt>
                <c:pt idx="146">
                  <c:v>7.3400319999999999</c:v>
                </c:pt>
                <c:pt idx="147">
                  <c:v>7.8643200000000002</c:v>
                </c:pt>
                <c:pt idx="148">
                  <c:v>8.3886079999999996</c:v>
                </c:pt>
                <c:pt idx="149">
                  <c:v>9.4371840000000002</c:v>
                </c:pt>
                <c:pt idx="150">
                  <c:v>10.485760000000001</c:v>
                </c:pt>
                <c:pt idx="151">
                  <c:v>11.534336</c:v>
                </c:pt>
                <c:pt idx="152">
                  <c:v>12.582912</c:v>
                </c:pt>
                <c:pt idx="153">
                  <c:v>13.631487999999999</c:v>
                </c:pt>
                <c:pt idx="154">
                  <c:v>14.680064</c:v>
                </c:pt>
                <c:pt idx="155">
                  <c:v>15.72864</c:v>
                </c:pt>
                <c:pt idx="156">
                  <c:v>16.777215999999999</c:v>
                </c:pt>
                <c:pt idx="157">
                  <c:v>18.874368</c:v>
                </c:pt>
                <c:pt idx="158">
                  <c:v>20.971520000000002</c:v>
                </c:pt>
                <c:pt idx="159">
                  <c:v>23.068671999999999</c:v>
                </c:pt>
                <c:pt idx="160">
                  <c:v>25.165824000000001</c:v>
                </c:pt>
                <c:pt idx="161">
                  <c:v>27.262975999999998</c:v>
                </c:pt>
                <c:pt idx="162">
                  <c:v>29.360128</c:v>
                </c:pt>
                <c:pt idx="163">
                  <c:v>31.457280000000001</c:v>
                </c:pt>
                <c:pt idx="164">
                  <c:v>33.554431999999998</c:v>
                </c:pt>
                <c:pt idx="165">
                  <c:v>37.748736000000001</c:v>
                </c:pt>
                <c:pt idx="166">
                  <c:v>41.943040000000003</c:v>
                </c:pt>
                <c:pt idx="167">
                  <c:v>46.137343999999999</c:v>
                </c:pt>
                <c:pt idx="168">
                  <c:v>50.331648000000001</c:v>
                </c:pt>
                <c:pt idx="169">
                  <c:v>54.525951999999997</c:v>
                </c:pt>
                <c:pt idx="170">
                  <c:v>58.720255999999999</c:v>
                </c:pt>
                <c:pt idx="171">
                  <c:v>62.914560000000002</c:v>
                </c:pt>
                <c:pt idx="172">
                  <c:v>67.108863999999997</c:v>
                </c:pt>
                <c:pt idx="173">
                  <c:v>75.497472000000002</c:v>
                </c:pt>
                <c:pt idx="174">
                  <c:v>83.886080000000007</c:v>
                </c:pt>
                <c:pt idx="175">
                  <c:v>92.274687999999998</c:v>
                </c:pt>
                <c:pt idx="176">
                  <c:v>100.663296</c:v>
                </c:pt>
                <c:pt idx="177">
                  <c:v>109.05190399999999</c:v>
                </c:pt>
                <c:pt idx="178">
                  <c:v>117.440512</c:v>
                </c:pt>
                <c:pt idx="179">
                  <c:v>125.82912</c:v>
                </c:pt>
                <c:pt idx="180">
                  <c:v>134.21772799999999</c:v>
                </c:pt>
                <c:pt idx="181">
                  <c:v>150.994944</c:v>
                </c:pt>
                <c:pt idx="182">
                  <c:v>167.77216000000001</c:v>
                </c:pt>
                <c:pt idx="183">
                  <c:v>184.549376</c:v>
                </c:pt>
                <c:pt idx="184">
                  <c:v>201.32659200000001</c:v>
                </c:pt>
                <c:pt idx="185">
                  <c:v>218.10380799999999</c:v>
                </c:pt>
              </c:numCache>
            </c:numRef>
          </c:xVal>
          <c:yVal>
            <c:numRef>
              <c:f>'2_Alexa488-IgG + Rh110'!$F$5:$F$190</c:f>
              <c:numCache>
                <c:formatCode>General</c:formatCode>
                <c:ptCount val="186"/>
                <c:pt idx="0">
                  <c:v>6.7174582541815742E-3</c:v>
                </c:pt>
                <c:pt idx="1">
                  <c:v>4.965252495938044E-3</c:v>
                </c:pt>
                <c:pt idx="2">
                  <c:v>-1.9486328549480625E-3</c:v>
                </c:pt>
                <c:pt idx="3">
                  <c:v>9.4258213699580651E-3</c:v>
                </c:pt>
                <c:pt idx="4">
                  <c:v>6.6386341183981568E-3</c:v>
                </c:pt>
                <c:pt idx="5">
                  <c:v>-5.8901758800349313E-3</c:v>
                </c:pt>
                <c:pt idx="6">
                  <c:v>-7.9405901113842603E-3</c:v>
                </c:pt>
                <c:pt idx="7">
                  <c:v>-9.2525902748459288E-3</c:v>
                </c:pt>
                <c:pt idx="8">
                  <c:v>-7.3261582803112457E-3</c:v>
                </c:pt>
                <c:pt idx="9">
                  <c:v>1.7608723754059419E-2</c:v>
                </c:pt>
                <c:pt idx="10">
                  <c:v>-6.7792649576348119E-4</c:v>
                </c:pt>
                <c:pt idx="11">
                  <c:v>-5.3960915573070256E-3</c:v>
                </c:pt>
                <c:pt idx="12">
                  <c:v>-8.9357541592511858E-3</c:v>
                </c:pt>
                <c:pt idx="13">
                  <c:v>7.7404961090521418E-3</c:v>
                </c:pt>
                <c:pt idx="14">
                  <c:v>4.0409585440452922E-3</c:v>
                </c:pt>
                <c:pt idx="15">
                  <c:v>6.0257643077483714E-3</c:v>
                </c:pt>
                <c:pt idx="16">
                  <c:v>-7.7495844030206484E-4</c:v>
                </c:pt>
                <c:pt idx="17">
                  <c:v>7.3889155257333972E-3</c:v>
                </c:pt>
                <c:pt idx="18">
                  <c:v>2.4975085652019224E-3</c:v>
                </c:pt>
                <c:pt idx="19">
                  <c:v>-1.4429059763370056E-2</c:v>
                </c:pt>
                <c:pt idx="20">
                  <c:v>-7.406726381147255E-4</c:v>
                </c:pt>
                <c:pt idx="21">
                  <c:v>-2.0085780472167691E-3</c:v>
                </c:pt>
                <c:pt idx="22">
                  <c:v>-3.6653254736060958E-3</c:v>
                </c:pt>
                <c:pt idx="23">
                  <c:v>3.7299273505757569E-3</c:v>
                </c:pt>
                <c:pt idx="24">
                  <c:v>7.6479845806605162E-3</c:v>
                </c:pt>
                <c:pt idx="25">
                  <c:v>2.579613985666418E-3</c:v>
                </c:pt>
                <c:pt idx="26">
                  <c:v>6.6155485963186322E-3</c:v>
                </c:pt>
                <c:pt idx="27">
                  <c:v>-1.9835117215747378E-3</c:v>
                </c:pt>
                <c:pt idx="28">
                  <c:v>-5.9689876501800576E-4</c:v>
                </c:pt>
                <c:pt idx="29">
                  <c:v>-1.2841299911874327E-3</c:v>
                </c:pt>
                <c:pt idx="30">
                  <c:v>5.1886201795554587E-3</c:v>
                </c:pt>
                <c:pt idx="31">
                  <c:v>1.6156956822166446E-3</c:v>
                </c:pt>
                <c:pt idx="32">
                  <c:v>-6.8589435746331251E-3</c:v>
                </c:pt>
                <c:pt idx="33">
                  <c:v>-3.521687711118604E-3</c:v>
                </c:pt>
                <c:pt idx="34">
                  <c:v>-5.9245888467396313E-5</c:v>
                </c:pt>
                <c:pt idx="35">
                  <c:v>-5.3986180650456017E-3</c:v>
                </c:pt>
                <c:pt idx="36">
                  <c:v>8.9293074689833496E-4</c:v>
                </c:pt>
                <c:pt idx="37">
                  <c:v>-4.0514552757457967E-3</c:v>
                </c:pt>
                <c:pt idx="38">
                  <c:v>-3.1449839831834137E-3</c:v>
                </c:pt>
                <c:pt idx="39">
                  <c:v>2.2268249046619726E-3</c:v>
                </c:pt>
                <c:pt idx="40">
                  <c:v>2.5460093735119038E-3</c:v>
                </c:pt>
                <c:pt idx="41">
                  <c:v>1.1025783347198281E-3</c:v>
                </c:pt>
                <c:pt idx="42">
                  <c:v>-3.2451450870125687E-3</c:v>
                </c:pt>
                <c:pt idx="43">
                  <c:v>-1.3102383627545677E-3</c:v>
                </c:pt>
                <c:pt idx="44">
                  <c:v>6.7030573670689986E-3</c:v>
                </c:pt>
                <c:pt idx="45">
                  <c:v>2.1731806063838288E-3</c:v>
                </c:pt>
                <c:pt idx="46">
                  <c:v>3.2471306076109485E-4</c:v>
                </c:pt>
                <c:pt idx="47">
                  <c:v>1.7081158892486847E-3</c:v>
                </c:pt>
                <c:pt idx="48">
                  <c:v>-4.852383045953701E-3</c:v>
                </c:pt>
                <c:pt idx="49">
                  <c:v>1.9131391957782906E-3</c:v>
                </c:pt>
                <c:pt idx="50">
                  <c:v>-1.718368395535963E-3</c:v>
                </c:pt>
                <c:pt idx="51">
                  <c:v>1.5979878833007888E-3</c:v>
                </c:pt>
                <c:pt idx="52">
                  <c:v>-1.4343194480392896E-3</c:v>
                </c:pt>
                <c:pt idx="53">
                  <c:v>1.3643499253421787E-3</c:v>
                </c:pt>
                <c:pt idx="54">
                  <c:v>1.2505634376140939E-3</c:v>
                </c:pt>
                <c:pt idx="55">
                  <c:v>3.4162360176193118E-4</c:v>
                </c:pt>
                <c:pt idx="56">
                  <c:v>4.5209291555003972E-4</c:v>
                </c:pt>
                <c:pt idx="57">
                  <c:v>-2.9648303482481264E-3</c:v>
                </c:pt>
                <c:pt idx="58">
                  <c:v>-1.6266535937627946E-3</c:v>
                </c:pt>
                <c:pt idx="59">
                  <c:v>4.1872682979970932E-4</c:v>
                </c:pt>
                <c:pt idx="60">
                  <c:v>2.9531793778008186E-3</c:v>
                </c:pt>
                <c:pt idx="61">
                  <c:v>2.5601724723878228E-4</c:v>
                </c:pt>
                <c:pt idx="62">
                  <c:v>-4.6579522969025788E-4</c:v>
                </c:pt>
                <c:pt idx="63">
                  <c:v>1.7986532587928039E-3</c:v>
                </c:pt>
                <c:pt idx="64">
                  <c:v>-3.1009105293158257E-3</c:v>
                </c:pt>
                <c:pt idx="65">
                  <c:v>-5.5579671238548123E-4</c:v>
                </c:pt>
                <c:pt idx="66">
                  <c:v>-4.4823725738041276E-4</c:v>
                </c:pt>
                <c:pt idx="67">
                  <c:v>-6.5128701653671683E-4</c:v>
                </c:pt>
                <c:pt idx="68">
                  <c:v>1.0612638541542818E-3</c:v>
                </c:pt>
                <c:pt idx="69">
                  <c:v>5.2479051105724928E-4</c:v>
                </c:pt>
                <c:pt idx="70">
                  <c:v>-1.3599185660009283E-3</c:v>
                </c:pt>
                <c:pt idx="71">
                  <c:v>5.1731715864855587E-4</c:v>
                </c:pt>
                <c:pt idx="72">
                  <c:v>3.0638544956218539E-5</c:v>
                </c:pt>
                <c:pt idx="73">
                  <c:v>4.2936001571591831E-4</c:v>
                </c:pt>
                <c:pt idx="74">
                  <c:v>5.189389223037022E-4</c:v>
                </c:pt>
                <c:pt idx="75">
                  <c:v>-2.8824992283338347E-4</c:v>
                </c:pt>
                <c:pt idx="76">
                  <c:v>4.1770462761236971E-4</c:v>
                </c:pt>
                <c:pt idx="77">
                  <c:v>9.4923787669509707E-4</c:v>
                </c:pt>
                <c:pt idx="78">
                  <c:v>1.0000176306748099E-3</c:v>
                </c:pt>
                <c:pt idx="79">
                  <c:v>2.1002002483871962E-4</c:v>
                </c:pt>
                <c:pt idx="80">
                  <c:v>6.6867043028495665E-4</c:v>
                </c:pt>
                <c:pt idx="81">
                  <c:v>-2.0135508004748282E-4</c:v>
                </c:pt>
                <c:pt idx="82">
                  <c:v>8.0829852755370801E-4</c:v>
                </c:pt>
                <c:pt idx="83">
                  <c:v>-8.6783396696432646E-5</c:v>
                </c:pt>
                <c:pt idx="84">
                  <c:v>-1.427938543336893E-4</c:v>
                </c:pt>
                <c:pt idx="85">
                  <c:v>9.5230925739242522E-4</c:v>
                </c:pt>
                <c:pt idx="86">
                  <c:v>-1.2506293169955995E-5</c:v>
                </c:pt>
                <c:pt idx="87">
                  <c:v>5.1112630150496052E-4</c:v>
                </c:pt>
                <c:pt idx="88">
                  <c:v>5.4913788641641759E-4</c:v>
                </c:pt>
                <c:pt idx="89">
                  <c:v>-6.3702594911729804E-5</c:v>
                </c:pt>
                <c:pt idx="90">
                  <c:v>3.4674591985561776E-4</c:v>
                </c:pt>
                <c:pt idx="91">
                  <c:v>-9.9577289297658744E-4</c:v>
                </c:pt>
                <c:pt idx="92">
                  <c:v>-3.5780739886437374E-4</c:v>
                </c:pt>
                <c:pt idx="93">
                  <c:v>-1.7778040246807514E-4</c:v>
                </c:pt>
                <c:pt idx="94">
                  <c:v>-7.4984539250300131E-4</c:v>
                </c:pt>
                <c:pt idx="95">
                  <c:v>-3.5342966154749966E-4</c:v>
                </c:pt>
                <c:pt idx="96">
                  <c:v>-2.6029669231930619E-4</c:v>
                </c:pt>
                <c:pt idx="97">
                  <c:v>-6.8421842700328028E-4</c:v>
                </c:pt>
                <c:pt idx="98">
                  <c:v>-3.8070414465396496E-4</c:v>
                </c:pt>
                <c:pt idx="99">
                  <c:v>-6.3677263418671082E-4</c:v>
                </c:pt>
                <c:pt idx="100">
                  <c:v>-8.3075942133103986E-4</c:v>
                </c:pt>
                <c:pt idx="101">
                  <c:v>-4.5145407706881358E-4</c:v>
                </c:pt>
                <c:pt idx="102">
                  <c:v>-3.3014509658535474E-4</c:v>
                </c:pt>
                <c:pt idx="103">
                  <c:v>-1.8693316312723418E-4</c:v>
                </c:pt>
                <c:pt idx="104">
                  <c:v>-2.9196327746672246E-4</c:v>
                </c:pt>
                <c:pt idx="105">
                  <c:v>-6.2338475941614568E-4</c:v>
                </c:pt>
                <c:pt idx="106">
                  <c:v>-5.5579000395500344E-4</c:v>
                </c:pt>
                <c:pt idx="107">
                  <c:v>-3.1900578778798483E-4</c:v>
                </c:pt>
                <c:pt idx="108">
                  <c:v>-2.7714756724539491E-4</c:v>
                </c:pt>
                <c:pt idx="109">
                  <c:v>-4.6178279085773433E-4</c:v>
                </c:pt>
                <c:pt idx="110">
                  <c:v>-5.6351917925434591E-4</c:v>
                </c:pt>
                <c:pt idx="111">
                  <c:v>-4.7002023753739408E-4</c:v>
                </c:pt>
                <c:pt idx="112">
                  <c:v>-8.6334965018108889E-4</c:v>
                </c:pt>
                <c:pt idx="113">
                  <c:v>-4.4354084432751684E-4</c:v>
                </c:pt>
                <c:pt idx="114">
                  <c:v>-3.8411146106676064E-4</c:v>
                </c:pt>
                <c:pt idx="115">
                  <c:v>-3.9886806495270655E-4</c:v>
                </c:pt>
                <c:pt idx="116">
                  <c:v>-9.9586863561818006E-5</c:v>
                </c:pt>
                <c:pt idx="117">
                  <c:v>2.0397945397099271E-4</c:v>
                </c:pt>
                <c:pt idx="118">
                  <c:v>1.8825199232175294E-4</c:v>
                </c:pt>
                <c:pt idx="119">
                  <c:v>4.4157430864655289E-4</c:v>
                </c:pt>
                <c:pt idx="120">
                  <c:v>6.9626511695064508E-4</c:v>
                </c:pt>
                <c:pt idx="121">
                  <c:v>7.9947461963980615E-4</c:v>
                </c:pt>
                <c:pt idx="122">
                  <c:v>1.1302545478935055E-3</c:v>
                </c:pt>
                <c:pt idx="123">
                  <c:v>1.4943116998586969E-3</c:v>
                </c:pt>
                <c:pt idx="124">
                  <c:v>1.4072944632284035E-3</c:v>
                </c:pt>
                <c:pt idx="125">
                  <c:v>1.1756699538307824E-3</c:v>
                </c:pt>
                <c:pt idx="126">
                  <c:v>9.2338902694577563E-4</c:v>
                </c:pt>
                <c:pt idx="127">
                  <c:v>8.0490738419580765E-4</c:v>
                </c:pt>
                <c:pt idx="128">
                  <c:v>7.1228275156798304E-4</c:v>
                </c:pt>
                <c:pt idx="129">
                  <c:v>7.8809248992262049E-4</c:v>
                </c:pt>
                <c:pt idx="130">
                  <c:v>9.4370999702753089E-4</c:v>
                </c:pt>
                <c:pt idx="131">
                  <c:v>1.3148243000598026E-3</c:v>
                </c:pt>
                <c:pt idx="132">
                  <c:v>1.0752474766755338E-3</c:v>
                </c:pt>
                <c:pt idx="133">
                  <c:v>6.9536416211457563E-4</c:v>
                </c:pt>
                <c:pt idx="134">
                  <c:v>1.8308069673000915E-4</c:v>
                </c:pt>
                <c:pt idx="135">
                  <c:v>2.3109336619131504E-4</c:v>
                </c:pt>
                <c:pt idx="136">
                  <c:v>3.909533947821231E-4</c:v>
                </c:pt>
                <c:pt idx="137">
                  <c:v>1.9864152207804686E-4</c:v>
                </c:pt>
                <c:pt idx="138">
                  <c:v>-2.3535185080492127E-4</c:v>
                </c:pt>
                <c:pt idx="139">
                  <c:v>-3.9925990655587107E-4</c:v>
                </c:pt>
                <c:pt idx="140">
                  <c:v>-5.8535807879445123E-4</c:v>
                </c:pt>
                <c:pt idx="141">
                  <c:v>-7.7442164662255841E-4</c:v>
                </c:pt>
                <c:pt idx="142">
                  <c:v>-8.7602970435418648E-4</c:v>
                </c:pt>
                <c:pt idx="143">
                  <c:v>-5.094135583063597E-4</c:v>
                </c:pt>
                <c:pt idx="144">
                  <c:v>-7.1950457387348621E-4</c:v>
                </c:pt>
                <c:pt idx="145">
                  <c:v>-6.0877375795653776E-4</c:v>
                </c:pt>
                <c:pt idx="146">
                  <c:v>-5.1577770420485614E-4</c:v>
                </c:pt>
                <c:pt idx="147">
                  <c:v>-5.176747738375731E-4</c:v>
                </c:pt>
                <c:pt idx="148">
                  <c:v>-6.1518696683648955E-4</c:v>
                </c:pt>
                <c:pt idx="149">
                  <c:v>-3.979045953166338E-4</c:v>
                </c:pt>
                <c:pt idx="150">
                  <c:v>-1.5817267191691187E-3</c:v>
                </c:pt>
                <c:pt idx="151">
                  <c:v>-2.2100417279213858E-3</c:v>
                </c:pt>
                <c:pt idx="152">
                  <c:v>-2.3833654831351136E-3</c:v>
                </c:pt>
                <c:pt idx="153">
                  <c:v>-2.1328491780585601E-3</c:v>
                </c:pt>
                <c:pt idx="154">
                  <c:v>-1.330264098667655E-3</c:v>
                </c:pt>
                <c:pt idx="155">
                  <c:v>-9.016758774105238E-4</c:v>
                </c:pt>
                <c:pt idx="156">
                  <c:v>-1.0633134106436959E-3</c:v>
                </c:pt>
                <c:pt idx="157">
                  <c:v>-1.6172014582840344E-3</c:v>
                </c:pt>
                <c:pt idx="158">
                  <c:v>-2.338823629512099E-3</c:v>
                </c:pt>
                <c:pt idx="159">
                  <c:v>-1.8877091628173304E-3</c:v>
                </c:pt>
                <c:pt idx="160">
                  <c:v>-1.9552137829561556E-3</c:v>
                </c:pt>
                <c:pt idx="161">
                  <c:v>-1.2028567958501934E-3</c:v>
                </c:pt>
                <c:pt idx="162">
                  <c:v>-1.3254344516864247E-3</c:v>
                </c:pt>
                <c:pt idx="163">
                  <c:v>-4.5677375682307009E-4</c:v>
                </c:pt>
                <c:pt idx="164">
                  <c:v>-1.1870168338918852E-3</c:v>
                </c:pt>
                <c:pt idx="165">
                  <c:v>-6.0618292596426038E-4</c:v>
                </c:pt>
                <c:pt idx="166">
                  <c:v>4.9486821568978101E-4</c:v>
                </c:pt>
                <c:pt idx="167">
                  <c:v>5.7272872596070279E-4</c:v>
                </c:pt>
                <c:pt idx="168">
                  <c:v>8.9548006771278388E-4</c:v>
                </c:pt>
                <c:pt idx="169">
                  <c:v>-3.2033504425510451E-4</c:v>
                </c:pt>
                <c:pt idx="170">
                  <c:v>-9.556666094936439E-4</c:v>
                </c:pt>
                <c:pt idx="171">
                  <c:v>3.4350070237976205E-4</c:v>
                </c:pt>
                <c:pt idx="172">
                  <c:v>-6.2300525914382732E-5</c:v>
                </c:pt>
                <c:pt idx="173">
                  <c:v>1.1216503686251045E-3</c:v>
                </c:pt>
                <c:pt idx="174">
                  <c:v>1.8653771070020753E-6</c:v>
                </c:pt>
                <c:pt idx="175">
                  <c:v>1.9573570816482366E-3</c:v>
                </c:pt>
                <c:pt idx="176">
                  <c:v>2.967393014882358E-3</c:v>
                </c:pt>
                <c:pt idx="177">
                  <c:v>1.435242739206366E-3</c:v>
                </c:pt>
                <c:pt idx="178">
                  <c:v>1.3703255741046583E-3</c:v>
                </c:pt>
                <c:pt idx="179">
                  <c:v>2.4795009065257112E-3</c:v>
                </c:pt>
                <c:pt idx="180">
                  <c:v>1.087874583421744E-3</c:v>
                </c:pt>
                <c:pt idx="181">
                  <c:v>1.0468253544637651E-3</c:v>
                </c:pt>
                <c:pt idx="182">
                  <c:v>7.0888687796277772E-4</c:v>
                </c:pt>
                <c:pt idx="183">
                  <c:v>1.7076362386116983E-3</c:v>
                </c:pt>
                <c:pt idx="184">
                  <c:v>2.451965942597889E-3</c:v>
                </c:pt>
                <c:pt idx="185">
                  <c:v>2.7279238624220437E-3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F9F-45C9-A0BB-0CF71C88C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04800"/>
        <c:axId val="159406336"/>
      </c:scatterChart>
      <c:valAx>
        <c:axId val="159404800"/>
        <c:scaling>
          <c:logBase val="10"/>
          <c:orientation val="minMax"/>
          <c:max val="10000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9406336"/>
        <c:crosses val="autoZero"/>
        <c:crossBetween val="midCat"/>
      </c:valAx>
      <c:valAx>
        <c:axId val="159406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59404800"/>
        <c:crossesAt val="9.9999999999999995E-7"/>
        <c:crossBetween val="midCat"/>
      </c:valAx>
    </c:plotArea>
    <c:legend>
      <c:legendPos val="r"/>
      <c:layout>
        <c:manualLayout>
          <c:xMode val="edge"/>
          <c:yMode val="edge"/>
          <c:x val="0.41993962466403412"/>
          <c:y val="0.12280701754385964"/>
          <c:w val="0.12235652975810463"/>
          <c:h val="9.9415204678362568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20</xdr:row>
      <xdr:rowOff>152400</xdr:rowOff>
    </xdr:from>
    <xdr:to>
      <xdr:col>18</xdr:col>
      <xdr:colOff>0</xdr:colOff>
      <xdr:row>43</xdr:row>
      <xdr:rowOff>161925</xdr:rowOff>
    </xdr:to>
    <xdr:graphicFrame macro="">
      <xdr:nvGraphicFramePr>
        <xdr:cNvPr id="32049" name="Chart 1">
          <a:extLst>
            <a:ext uri="{FF2B5EF4-FFF2-40B4-BE49-F238E27FC236}">
              <a16:creationId xmlns="" xmlns:a16="http://schemas.microsoft.com/office/drawing/2014/main" id="{2EA0676A-7939-4CC8-8D87-A23AF0A38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28575</xdr:rowOff>
    </xdr:from>
    <xdr:to>
      <xdr:col>18</xdr:col>
      <xdr:colOff>0</xdr:colOff>
      <xdr:row>20</xdr:row>
      <xdr:rowOff>133350</xdr:rowOff>
    </xdr:to>
    <xdr:graphicFrame macro="">
      <xdr:nvGraphicFramePr>
        <xdr:cNvPr id="32050" name="Chart 2">
          <a:extLst>
            <a:ext uri="{FF2B5EF4-FFF2-40B4-BE49-F238E27FC236}">
              <a16:creationId xmlns="" xmlns:a16="http://schemas.microsoft.com/office/drawing/2014/main" id="{401C85CC-F16E-4641-B698-1CE881F39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20</xdr:row>
      <xdr:rowOff>161925</xdr:rowOff>
    </xdr:from>
    <xdr:to>
      <xdr:col>18</xdr:col>
      <xdr:colOff>9525</xdr:colOff>
      <xdr:row>43</xdr:row>
      <xdr:rowOff>171450</xdr:rowOff>
    </xdr:to>
    <xdr:graphicFrame macro="">
      <xdr:nvGraphicFramePr>
        <xdr:cNvPr id="35121" name="Chart 1">
          <a:extLst>
            <a:ext uri="{FF2B5EF4-FFF2-40B4-BE49-F238E27FC236}">
              <a16:creationId xmlns="" xmlns:a16="http://schemas.microsoft.com/office/drawing/2014/main" id="{D116FE80-B224-47EE-B87C-B04B9B125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38100</xdr:rowOff>
    </xdr:from>
    <xdr:to>
      <xdr:col>18</xdr:col>
      <xdr:colOff>9525</xdr:colOff>
      <xdr:row>20</xdr:row>
      <xdr:rowOff>142875</xdr:rowOff>
    </xdr:to>
    <xdr:graphicFrame macro="">
      <xdr:nvGraphicFramePr>
        <xdr:cNvPr id="35122" name="Chart 2">
          <a:extLst>
            <a:ext uri="{FF2B5EF4-FFF2-40B4-BE49-F238E27FC236}">
              <a16:creationId xmlns="" xmlns:a16="http://schemas.microsoft.com/office/drawing/2014/main" id="{CE015504-D36C-4D9D-A5E6-E621435AD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20</xdr:row>
      <xdr:rowOff>152400</xdr:rowOff>
    </xdr:from>
    <xdr:to>
      <xdr:col>18</xdr:col>
      <xdr:colOff>0</xdr:colOff>
      <xdr:row>43</xdr:row>
      <xdr:rowOff>161925</xdr:rowOff>
    </xdr:to>
    <xdr:graphicFrame macro="">
      <xdr:nvGraphicFramePr>
        <xdr:cNvPr id="19761" name="Chart 1">
          <a:extLst>
            <a:ext uri="{FF2B5EF4-FFF2-40B4-BE49-F238E27FC236}">
              <a16:creationId xmlns="" xmlns:a16="http://schemas.microsoft.com/office/drawing/2014/main" id="{410225F3-DF2E-4E52-9A4D-9BE8BF7C7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28575</xdr:rowOff>
    </xdr:from>
    <xdr:to>
      <xdr:col>18</xdr:col>
      <xdr:colOff>0</xdr:colOff>
      <xdr:row>20</xdr:row>
      <xdr:rowOff>133350</xdr:rowOff>
    </xdr:to>
    <xdr:graphicFrame macro="">
      <xdr:nvGraphicFramePr>
        <xdr:cNvPr id="19762" name="Chart 2">
          <a:extLst>
            <a:ext uri="{FF2B5EF4-FFF2-40B4-BE49-F238E27FC236}">
              <a16:creationId xmlns="" xmlns:a16="http://schemas.microsoft.com/office/drawing/2014/main" id="{87D0784B-FDE9-440B-992E-CA7D902A5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20</xdr:row>
      <xdr:rowOff>161925</xdr:rowOff>
    </xdr:from>
    <xdr:to>
      <xdr:col>18</xdr:col>
      <xdr:colOff>9525</xdr:colOff>
      <xdr:row>43</xdr:row>
      <xdr:rowOff>171450</xdr:rowOff>
    </xdr:to>
    <xdr:graphicFrame macro="">
      <xdr:nvGraphicFramePr>
        <xdr:cNvPr id="16689" name="Chart 1">
          <a:extLst>
            <a:ext uri="{FF2B5EF4-FFF2-40B4-BE49-F238E27FC236}">
              <a16:creationId xmlns="" xmlns:a16="http://schemas.microsoft.com/office/drawing/2014/main" id="{E03ABD7E-983B-49E0-BE3A-5F8D7F304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38100</xdr:rowOff>
    </xdr:from>
    <xdr:to>
      <xdr:col>18</xdr:col>
      <xdr:colOff>9525</xdr:colOff>
      <xdr:row>20</xdr:row>
      <xdr:rowOff>142875</xdr:rowOff>
    </xdr:to>
    <xdr:graphicFrame macro="">
      <xdr:nvGraphicFramePr>
        <xdr:cNvPr id="16690" name="Chart 2">
          <a:extLst>
            <a:ext uri="{FF2B5EF4-FFF2-40B4-BE49-F238E27FC236}">
              <a16:creationId xmlns="" xmlns:a16="http://schemas.microsoft.com/office/drawing/2014/main" id="{B785EC25-D06E-4D86-985B-059DDF667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21</xdr:row>
      <xdr:rowOff>19050</xdr:rowOff>
    </xdr:from>
    <xdr:to>
      <xdr:col>18</xdr:col>
      <xdr:colOff>0</xdr:colOff>
      <xdr:row>44</xdr:row>
      <xdr:rowOff>28575</xdr:rowOff>
    </xdr:to>
    <xdr:graphicFrame macro="">
      <xdr:nvGraphicFramePr>
        <xdr:cNvPr id="3281959" name="Chart 1">
          <a:extLst>
            <a:ext uri="{FF2B5EF4-FFF2-40B4-BE49-F238E27FC236}">
              <a16:creationId xmlns="" xmlns:a16="http://schemas.microsoft.com/office/drawing/2014/main" id="{042498D5-7175-4EBF-9EAE-7F11145A7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85725</xdr:rowOff>
    </xdr:from>
    <xdr:to>
      <xdr:col>18</xdr:col>
      <xdr:colOff>0</xdr:colOff>
      <xdr:row>21</xdr:row>
      <xdr:rowOff>0</xdr:rowOff>
    </xdr:to>
    <xdr:graphicFrame macro="">
      <xdr:nvGraphicFramePr>
        <xdr:cNvPr id="3281960" name="Chart 2">
          <a:extLst>
            <a:ext uri="{FF2B5EF4-FFF2-40B4-BE49-F238E27FC236}">
              <a16:creationId xmlns="" xmlns:a16="http://schemas.microsoft.com/office/drawing/2014/main" id="{00EFCC89-711C-4775-BEF2-0FAAAA104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21</xdr:row>
      <xdr:rowOff>19050</xdr:rowOff>
    </xdr:from>
    <xdr:to>
      <xdr:col>18</xdr:col>
      <xdr:colOff>0</xdr:colOff>
      <xdr:row>44</xdr:row>
      <xdr:rowOff>28575</xdr:rowOff>
    </xdr:to>
    <xdr:graphicFrame macro="">
      <xdr:nvGraphicFramePr>
        <xdr:cNvPr id="10545" name="Chart 1">
          <a:extLst>
            <a:ext uri="{FF2B5EF4-FFF2-40B4-BE49-F238E27FC236}">
              <a16:creationId xmlns="" xmlns:a16="http://schemas.microsoft.com/office/drawing/2014/main" id="{852C44B3-5D7F-4B3B-89C4-8D862D866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85725</xdr:rowOff>
    </xdr:from>
    <xdr:to>
      <xdr:col>18</xdr:col>
      <xdr:colOff>0</xdr:colOff>
      <xdr:row>21</xdr:row>
      <xdr:rowOff>0</xdr:rowOff>
    </xdr:to>
    <xdr:graphicFrame macro="">
      <xdr:nvGraphicFramePr>
        <xdr:cNvPr id="10546" name="Chart 2">
          <a:extLst>
            <a:ext uri="{FF2B5EF4-FFF2-40B4-BE49-F238E27FC236}">
              <a16:creationId xmlns="" xmlns:a16="http://schemas.microsoft.com/office/drawing/2014/main" id="{D3225A95-B581-4300-8868-EFE4E3FAF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21</xdr:row>
      <xdr:rowOff>47625</xdr:rowOff>
    </xdr:from>
    <xdr:to>
      <xdr:col>18</xdr:col>
      <xdr:colOff>0</xdr:colOff>
      <xdr:row>44</xdr:row>
      <xdr:rowOff>57150</xdr:rowOff>
    </xdr:to>
    <xdr:graphicFrame macro="">
      <xdr:nvGraphicFramePr>
        <xdr:cNvPr id="1329" name="Chart 1">
          <a:extLst>
            <a:ext uri="{FF2B5EF4-FFF2-40B4-BE49-F238E27FC236}">
              <a16:creationId xmlns="" xmlns:a16="http://schemas.microsoft.com/office/drawing/2014/main" id="{BE0B16DD-D2B7-4641-9948-15694555A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114300</xdr:rowOff>
    </xdr:from>
    <xdr:to>
      <xdr:col>17</xdr:col>
      <xdr:colOff>590550</xdr:colOff>
      <xdr:row>21</xdr:row>
      <xdr:rowOff>28575</xdr:rowOff>
    </xdr:to>
    <xdr:graphicFrame macro="">
      <xdr:nvGraphicFramePr>
        <xdr:cNvPr id="1330" name="Chart 2">
          <a:extLst>
            <a:ext uri="{FF2B5EF4-FFF2-40B4-BE49-F238E27FC236}">
              <a16:creationId xmlns="" xmlns:a16="http://schemas.microsoft.com/office/drawing/2014/main" id="{C2CEF0D0-51E9-47A7-A8D6-B9C199D11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21</xdr:row>
      <xdr:rowOff>19050</xdr:rowOff>
    </xdr:from>
    <xdr:to>
      <xdr:col>18</xdr:col>
      <xdr:colOff>0</xdr:colOff>
      <xdr:row>44</xdr:row>
      <xdr:rowOff>28575</xdr:rowOff>
    </xdr:to>
    <xdr:graphicFrame macro="">
      <xdr:nvGraphicFramePr>
        <xdr:cNvPr id="28977" name="Chart 1">
          <a:extLst>
            <a:ext uri="{FF2B5EF4-FFF2-40B4-BE49-F238E27FC236}">
              <a16:creationId xmlns="" xmlns:a16="http://schemas.microsoft.com/office/drawing/2014/main" id="{D52F8FCE-B02F-48E9-ADD4-6386547E6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85725</xdr:rowOff>
    </xdr:from>
    <xdr:to>
      <xdr:col>18</xdr:col>
      <xdr:colOff>0</xdr:colOff>
      <xdr:row>21</xdr:row>
      <xdr:rowOff>47625</xdr:rowOff>
    </xdr:to>
    <xdr:graphicFrame macro="">
      <xdr:nvGraphicFramePr>
        <xdr:cNvPr id="28978" name="Chart 2">
          <a:extLst>
            <a:ext uri="{FF2B5EF4-FFF2-40B4-BE49-F238E27FC236}">
              <a16:creationId xmlns="" xmlns:a16="http://schemas.microsoft.com/office/drawing/2014/main" id="{DED868F4-2615-4F2B-B075-345D3653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20</xdr:row>
      <xdr:rowOff>171450</xdr:rowOff>
    </xdr:from>
    <xdr:to>
      <xdr:col>18</xdr:col>
      <xdr:colOff>0</xdr:colOff>
      <xdr:row>43</xdr:row>
      <xdr:rowOff>180975</xdr:rowOff>
    </xdr:to>
    <xdr:graphicFrame macro="">
      <xdr:nvGraphicFramePr>
        <xdr:cNvPr id="7473" name="Chart 1">
          <a:extLst>
            <a:ext uri="{FF2B5EF4-FFF2-40B4-BE49-F238E27FC236}">
              <a16:creationId xmlns="" xmlns:a16="http://schemas.microsoft.com/office/drawing/2014/main" id="{CC7DC734-6ED9-4899-9235-C7F2335A4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104775</xdr:rowOff>
    </xdr:from>
    <xdr:to>
      <xdr:col>18</xdr:col>
      <xdr:colOff>0</xdr:colOff>
      <xdr:row>20</xdr:row>
      <xdr:rowOff>152400</xdr:rowOff>
    </xdr:to>
    <xdr:graphicFrame macro="">
      <xdr:nvGraphicFramePr>
        <xdr:cNvPr id="7474" name="Chart 2">
          <a:extLst>
            <a:ext uri="{FF2B5EF4-FFF2-40B4-BE49-F238E27FC236}">
              <a16:creationId xmlns="" xmlns:a16="http://schemas.microsoft.com/office/drawing/2014/main" id="{B59181D0-E8FF-4AD2-B99F-86B48A097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21</xdr:row>
      <xdr:rowOff>19050</xdr:rowOff>
    </xdr:from>
    <xdr:to>
      <xdr:col>18</xdr:col>
      <xdr:colOff>9525</xdr:colOff>
      <xdr:row>44</xdr:row>
      <xdr:rowOff>28575</xdr:rowOff>
    </xdr:to>
    <xdr:graphicFrame macro="">
      <xdr:nvGraphicFramePr>
        <xdr:cNvPr id="4401" name="Chart 1">
          <a:extLst>
            <a:ext uri="{FF2B5EF4-FFF2-40B4-BE49-F238E27FC236}">
              <a16:creationId xmlns="" xmlns:a16="http://schemas.microsoft.com/office/drawing/2014/main" id="{D70BCB07-5F3C-4543-8FFF-CB5C13C51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85725</xdr:rowOff>
    </xdr:from>
    <xdr:to>
      <xdr:col>18</xdr:col>
      <xdr:colOff>9525</xdr:colOff>
      <xdr:row>21</xdr:row>
      <xdr:rowOff>9525</xdr:rowOff>
    </xdr:to>
    <xdr:graphicFrame macro="">
      <xdr:nvGraphicFramePr>
        <xdr:cNvPr id="4402" name="Chart 2">
          <a:extLst>
            <a:ext uri="{FF2B5EF4-FFF2-40B4-BE49-F238E27FC236}">
              <a16:creationId xmlns="" xmlns:a16="http://schemas.microsoft.com/office/drawing/2014/main" id="{3EFE9D32-3B56-4BBA-9405-7912C20F6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21</xdr:row>
      <xdr:rowOff>28575</xdr:rowOff>
    </xdr:from>
    <xdr:to>
      <xdr:col>17</xdr:col>
      <xdr:colOff>523875</xdr:colOff>
      <xdr:row>44</xdr:row>
      <xdr:rowOff>38100</xdr:rowOff>
    </xdr:to>
    <xdr:graphicFrame macro="">
      <xdr:nvGraphicFramePr>
        <xdr:cNvPr id="25905" name="Chart 1">
          <a:extLst>
            <a:ext uri="{FF2B5EF4-FFF2-40B4-BE49-F238E27FC236}">
              <a16:creationId xmlns="" xmlns:a16="http://schemas.microsoft.com/office/drawing/2014/main" id="{BF2F9508-704E-4192-84A2-923741D55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95250</xdr:rowOff>
    </xdr:from>
    <xdr:to>
      <xdr:col>17</xdr:col>
      <xdr:colOff>523875</xdr:colOff>
      <xdr:row>21</xdr:row>
      <xdr:rowOff>9525</xdr:rowOff>
    </xdr:to>
    <xdr:graphicFrame macro="">
      <xdr:nvGraphicFramePr>
        <xdr:cNvPr id="25906" name="Chart 2">
          <a:extLst>
            <a:ext uri="{FF2B5EF4-FFF2-40B4-BE49-F238E27FC236}">
              <a16:creationId xmlns="" xmlns:a16="http://schemas.microsoft.com/office/drawing/2014/main" id="{410C2474-43ED-4B83-B34E-A4A26F663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21</xdr:row>
      <xdr:rowOff>95250</xdr:rowOff>
    </xdr:from>
    <xdr:to>
      <xdr:col>17</xdr:col>
      <xdr:colOff>523875</xdr:colOff>
      <xdr:row>44</xdr:row>
      <xdr:rowOff>104775</xdr:rowOff>
    </xdr:to>
    <xdr:graphicFrame macro="">
      <xdr:nvGraphicFramePr>
        <xdr:cNvPr id="22833" name="Chart 1">
          <a:extLst>
            <a:ext uri="{FF2B5EF4-FFF2-40B4-BE49-F238E27FC236}">
              <a16:creationId xmlns="" xmlns:a16="http://schemas.microsoft.com/office/drawing/2014/main" id="{828953EB-06C1-4CDD-B128-2257E844B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12</xdr:row>
      <xdr:rowOff>161925</xdr:rowOff>
    </xdr:from>
    <xdr:to>
      <xdr:col>17</xdr:col>
      <xdr:colOff>523875</xdr:colOff>
      <xdr:row>21</xdr:row>
      <xdr:rowOff>76200</xdr:rowOff>
    </xdr:to>
    <xdr:graphicFrame macro="">
      <xdr:nvGraphicFramePr>
        <xdr:cNvPr id="22834" name="Chart 2">
          <a:extLst>
            <a:ext uri="{FF2B5EF4-FFF2-40B4-BE49-F238E27FC236}">
              <a16:creationId xmlns="" xmlns:a16="http://schemas.microsoft.com/office/drawing/2014/main" id="{52027BF5-AE4E-4FEA-AD6A-CA91A74AE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tabSelected="1" zoomScale="85" zoomScaleNormal="85" workbookViewId="0">
      <selection activeCell="D4" sqref="D4"/>
    </sheetView>
  </sheetViews>
  <sheetFormatPr defaultColWidth="9" defaultRowHeight="15" x14ac:dyDescent="0.25"/>
  <cols>
    <col min="1" max="1" width="14.28515625" bestFit="1" customWidth="1"/>
    <col min="2" max="2" width="9.42578125" bestFit="1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7.140625" customWidth="1"/>
    <col min="10" max="10" width="15.42578125" bestFit="1" customWidth="1"/>
  </cols>
  <sheetData>
    <row r="1" spans="1:12" x14ac:dyDescent="0.25">
      <c r="A1" t="s">
        <v>6</v>
      </c>
      <c r="B1" t="s">
        <v>8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31">
        <v>3.9999999999999998E-6</v>
      </c>
      <c r="B2" s="31">
        <v>1.1434899999999999</v>
      </c>
      <c r="C2" s="7" t="s">
        <v>1</v>
      </c>
      <c r="D2" s="6">
        <v>1.0002765249747887</v>
      </c>
      <c r="E2" s="2">
        <f t="shared" ref="E2:E65" si="0">$D$2+1/$D$3*($D$8/(1+A2/$D$4)/SQRT(1+A2/$D$4/$D$5/$D$5)+(1-$D$8)/(1+A2/$D$6)/SQRT(1+A2/$D$6/$D$7/$D$7))*(1+$D$9*EXP(-A2/$D$10)+$D$11*EXP(-A2/$D$12))</f>
        <v>1.2439244420089743</v>
      </c>
      <c r="F2">
        <f t="shared" ref="F2:F65" si="1">B2-E2</f>
        <v>-0.10043444200897444</v>
      </c>
      <c r="G2">
        <f>SUMSQ(F$4:F$190)</f>
        <v>3.6369596798837512E-3</v>
      </c>
      <c r="I2" s="13" t="s">
        <v>19</v>
      </c>
      <c r="J2" s="16">
        <v>102</v>
      </c>
      <c r="L2" s="14">
        <f>(J2+J3)/D3</f>
        <v>46.875217247918364</v>
      </c>
    </row>
    <row r="3" spans="1:12" x14ac:dyDescent="0.25">
      <c r="A3" s="31">
        <v>7.9999999999999996E-6</v>
      </c>
      <c r="B3" s="31">
        <v>1.2258100000000001</v>
      </c>
      <c r="C3" s="7" t="s">
        <v>2</v>
      </c>
      <c r="D3" s="6">
        <v>4.3135800081860802</v>
      </c>
      <c r="E3" s="2">
        <f>$D$2+1/$D$3*($D$8/(1+A3/$D$4)/SQRT(1+A3/$D$4/$D$5/$D$5)+(1-$D$8)/(1+A3/$D$6)/SQRT(1+A3/$D$6/$D$7/$D$7))*(1+$D$9*EXP(-A3/$D$10)+$D$11*EXP(-A3/$D$12))</f>
        <v>1.2439057199897248</v>
      </c>
      <c r="F3">
        <f t="shared" si="1"/>
        <v>-1.8095719989724701E-2</v>
      </c>
      <c r="H3" s="1"/>
      <c r="I3" s="13" t="s">
        <v>20</v>
      </c>
      <c r="J3" s="16">
        <v>100.2</v>
      </c>
    </row>
    <row r="4" spans="1:12" x14ac:dyDescent="0.25">
      <c r="A4" s="31">
        <v>1.2E-5</v>
      </c>
      <c r="B4" s="31">
        <v>1.2370000000000001</v>
      </c>
      <c r="C4" s="7" t="s">
        <v>26</v>
      </c>
      <c r="D4" s="6">
        <v>0.19143592525598621</v>
      </c>
      <c r="E4" s="2">
        <f t="shared" si="0"/>
        <v>1.2438870142834795</v>
      </c>
      <c r="F4">
        <f t="shared" si="1"/>
        <v>-6.8870142834793757E-3</v>
      </c>
      <c r="H4" s="1"/>
      <c r="I4" s="5"/>
    </row>
    <row r="5" spans="1:12" x14ac:dyDescent="0.25">
      <c r="A5" s="31">
        <v>1.5999999999999999E-5</v>
      </c>
      <c r="B5" s="31">
        <v>1.24708</v>
      </c>
      <c r="C5" s="7" t="s">
        <v>22</v>
      </c>
      <c r="D5" s="6">
        <v>5.554442944937847</v>
      </c>
      <c r="E5" s="2">
        <f t="shared" si="0"/>
        <v>1.2438683248714193</v>
      </c>
      <c r="F5">
        <f t="shared" si="1"/>
        <v>3.2116751285806711E-3</v>
      </c>
      <c r="H5" s="1"/>
      <c r="I5" s="4"/>
    </row>
    <row r="6" spans="1:12" x14ac:dyDescent="0.25">
      <c r="A6" s="31">
        <v>2.0000000000000002E-5</v>
      </c>
      <c r="B6" s="31">
        <v>1.2450399999999999</v>
      </c>
      <c r="C6" s="7" t="s">
        <v>25</v>
      </c>
      <c r="D6" s="6">
        <v>1.38</v>
      </c>
      <c r="E6" s="2">
        <f t="shared" si="0"/>
        <v>1.2438496517347464</v>
      </c>
      <c r="F6">
        <f t="shared" si="1"/>
        <v>1.1903482652535491E-3</v>
      </c>
      <c r="H6" s="1"/>
      <c r="I6" s="4"/>
    </row>
    <row r="7" spans="1:12" x14ac:dyDescent="0.25">
      <c r="A7" s="31">
        <v>2.4000000000000001E-5</v>
      </c>
      <c r="B7" s="31">
        <v>1.2320199999999999</v>
      </c>
      <c r="C7" s="7" t="s">
        <v>22</v>
      </c>
      <c r="D7" s="6">
        <f>D5</f>
        <v>5.554442944937847</v>
      </c>
      <c r="E7" s="2">
        <f>$D$2+1/$D$3*($D$8/(1+A7/$D$4)/SQRT(1+A7/$D$4/$D$5/$D$5)+(1-$D$8)/(1+A7/$D$6)/SQRT(1+A7/$D$6/$D$7/$D$7))*(1+$D$9*EXP(-A7/$D$10)+$D$11*EXP(-A7/$D$12))</f>
        <v>1.2438309948546851</v>
      </c>
      <c r="F7">
        <f t="shared" si="1"/>
        <v>-1.1810994854685175E-2</v>
      </c>
      <c r="H7" s="1"/>
      <c r="I7" s="4"/>
    </row>
    <row r="8" spans="1:12" x14ac:dyDescent="0.25">
      <c r="A8" s="31">
        <v>2.8E-5</v>
      </c>
      <c r="B8" s="31">
        <v>1.25939</v>
      </c>
      <c r="C8" s="7" t="s">
        <v>13</v>
      </c>
      <c r="D8" s="6">
        <v>1</v>
      </c>
      <c r="E8" s="2">
        <f t="shared" si="0"/>
        <v>1.2438123542124819</v>
      </c>
      <c r="F8">
        <f t="shared" si="1"/>
        <v>1.557764578751808E-2</v>
      </c>
      <c r="H8" s="1"/>
      <c r="I8" s="4"/>
    </row>
    <row r="9" spans="1:12" x14ac:dyDescent="0.25">
      <c r="A9" s="31">
        <v>3.1999999999999999E-5</v>
      </c>
      <c r="B9" s="31">
        <v>1.2454499999999999</v>
      </c>
      <c r="C9" s="7" t="s">
        <v>14</v>
      </c>
      <c r="D9" s="6">
        <v>5.1075613331516327E-2</v>
      </c>
      <c r="E9" s="2">
        <f t="shared" si="0"/>
        <v>1.2437937297894051</v>
      </c>
      <c r="F9">
        <f t="shared" si="1"/>
        <v>1.6562702105948901E-3</v>
      </c>
      <c r="H9" s="1"/>
      <c r="I9" s="4"/>
    </row>
    <row r="10" spans="1:12" x14ac:dyDescent="0.25">
      <c r="A10" s="31">
        <v>3.6000000000000001E-5</v>
      </c>
      <c r="B10" s="31">
        <v>1.2449399999999999</v>
      </c>
      <c r="C10" s="7" t="s">
        <v>24</v>
      </c>
      <c r="D10" s="6">
        <v>3.4895596520637421E-3</v>
      </c>
      <c r="E10" s="2">
        <f t="shared" si="0"/>
        <v>1.2437751215667445</v>
      </c>
      <c r="F10">
        <f t="shared" si="1"/>
        <v>1.1648784332554118E-3</v>
      </c>
      <c r="H10" s="1"/>
      <c r="I10" s="4"/>
    </row>
    <row r="11" spans="1:12" x14ac:dyDescent="0.25">
      <c r="A11" s="31">
        <v>4.0000000000000003E-5</v>
      </c>
      <c r="B11" s="31">
        <v>1.25817</v>
      </c>
      <c r="C11" s="7" t="s">
        <v>15</v>
      </c>
      <c r="D11" s="6">
        <v>0</v>
      </c>
      <c r="E11" s="2">
        <f t="shared" si="0"/>
        <v>1.2437565295258119</v>
      </c>
      <c r="F11">
        <f t="shared" si="1"/>
        <v>1.4413470474188061E-2</v>
      </c>
      <c r="H11" s="1"/>
      <c r="I11" s="4"/>
    </row>
    <row r="12" spans="1:12" x14ac:dyDescent="0.25">
      <c r="A12" s="31">
        <v>4.3999999999999999E-5</v>
      </c>
      <c r="B12" s="31">
        <v>1.26326</v>
      </c>
      <c r="C12" s="7" t="s">
        <v>23</v>
      </c>
      <c r="D12" s="6">
        <v>2.064440385302267E-5</v>
      </c>
      <c r="E12" s="2">
        <f t="shared" si="0"/>
        <v>1.2437379536479416</v>
      </c>
      <c r="F12">
        <f t="shared" si="1"/>
        <v>1.9522046352058453E-2</v>
      </c>
      <c r="H12" s="1"/>
      <c r="I12" s="4"/>
    </row>
    <row r="13" spans="1:12" x14ac:dyDescent="0.25">
      <c r="A13" s="31">
        <v>4.8000000000000001E-5</v>
      </c>
      <c r="B13" s="31">
        <v>1.2278500000000001</v>
      </c>
      <c r="E13" s="2">
        <f t="shared" si="0"/>
        <v>1.2437193939144884</v>
      </c>
      <c r="F13">
        <f t="shared" si="1"/>
        <v>-1.5869393914488272E-2</v>
      </c>
      <c r="H13" s="1"/>
    </row>
    <row r="14" spans="1:12" x14ac:dyDescent="0.25">
      <c r="A14" s="31">
        <v>5.1999999999999997E-5</v>
      </c>
      <c r="B14" s="31">
        <v>1.25461</v>
      </c>
      <c r="E14" s="2">
        <f t="shared" si="0"/>
        <v>1.2437008503068301</v>
      </c>
      <c r="F14">
        <f t="shared" si="1"/>
        <v>1.0909149693169917E-2</v>
      </c>
      <c r="H14" s="1"/>
    </row>
    <row r="15" spans="1:12" x14ac:dyDescent="0.25">
      <c r="A15" s="31">
        <v>5.5999999999999999E-5</v>
      </c>
      <c r="B15" s="31">
        <v>1.2329300000000001</v>
      </c>
      <c r="E15" s="2">
        <f t="shared" si="0"/>
        <v>1.2436823228063654</v>
      </c>
      <c r="F15">
        <f t="shared" si="1"/>
        <v>-1.0752322806365289E-2</v>
      </c>
      <c r="H15" s="1"/>
    </row>
    <row r="16" spans="1:12" x14ac:dyDescent="0.25">
      <c r="A16" s="31">
        <v>6.0000000000000002E-5</v>
      </c>
      <c r="B16" s="31">
        <v>1.2296800000000001</v>
      </c>
      <c r="E16" s="2">
        <f t="shared" si="0"/>
        <v>1.2436638113945149</v>
      </c>
      <c r="F16">
        <f t="shared" si="1"/>
        <v>-1.3983811394514767E-2</v>
      </c>
      <c r="H16" s="1"/>
    </row>
    <row r="17" spans="1:8" x14ac:dyDescent="0.25">
      <c r="A17" s="31">
        <v>6.3999999999999997E-5</v>
      </c>
      <c r="B17" s="31">
        <v>1.2495700000000001</v>
      </c>
      <c r="E17" s="2">
        <f t="shared" si="0"/>
        <v>1.2436453160527212</v>
      </c>
      <c r="F17">
        <f t="shared" si="1"/>
        <v>5.9246839472788526E-3</v>
      </c>
      <c r="H17" s="1"/>
    </row>
    <row r="18" spans="1:8" x14ac:dyDescent="0.25">
      <c r="A18" s="31">
        <v>7.2000000000000002E-5</v>
      </c>
      <c r="B18" s="31">
        <v>1.23705</v>
      </c>
      <c r="E18" s="2">
        <f t="shared" si="0"/>
        <v>1.2436083735051824</v>
      </c>
      <c r="F18">
        <f t="shared" si="1"/>
        <v>-6.5583735051824021E-3</v>
      </c>
      <c r="H18" s="1"/>
    </row>
    <row r="19" spans="1:8" x14ac:dyDescent="0.25">
      <c r="A19" s="31">
        <v>8.0000000000000007E-5</v>
      </c>
      <c r="B19" s="31">
        <v>1.25522</v>
      </c>
      <c r="E19" s="2">
        <f t="shared" si="0"/>
        <v>1.2435714950157202</v>
      </c>
      <c r="F19">
        <f t="shared" si="1"/>
        <v>1.1648504984279828E-2</v>
      </c>
      <c r="H19" s="1"/>
    </row>
    <row r="20" spans="1:8" x14ac:dyDescent="0.25">
      <c r="A20" s="31">
        <v>8.7999999999999998E-5</v>
      </c>
      <c r="B20" s="31">
        <v>1.26702</v>
      </c>
      <c r="E20" s="2">
        <f t="shared" si="0"/>
        <v>1.2435346804366521</v>
      </c>
      <c r="F20">
        <f t="shared" si="1"/>
        <v>2.3485319563347984E-2</v>
      </c>
      <c r="H20" s="1"/>
    </row>
    <row r="21" spans="1:8" x14ac:dyDescent="0.25">
      <c r="A21" s="31">
        <v>9.6000000000000002E-5</v>
      </c>
      <c r="B21" s="31">
        <v>1.2456</v>
      </c>
      <c r="E21" s="2">
        <f t="shared" si="0"/>
        <v>1.2434979296206401</v>
      </c>
      <c r="F21">
        <f t="shared" si="1"/>
        <v>2.1020703793599438E-3</v>
      </c>
      <c r="H21" s="1"/>
    </row>
    <row r="22" spans="1:8" x14ac:dyDescent="0.25">
      <c r="A22" s="31">
        <v>1.0399999999999999E-4</v>
      </c>
      <c r="B22" s="31">
        <v>1.22133</v>
      </c>
      <c r="E22" s="2">
        <f t="shared" si="0"/>
        <v>1.2434612424206899</v>
      </c>
      <c r="F22">
        <f t="shared" si="1"/>
        <v>-2.2131242420689867E-2</v>
      </c>
      <c r="H22" s="1"/>
    </row>
    <row r="23" spans="1:8" x14ac:dyDescent="0.25">
      <c r="A23" s="31">
        <v>1.12E-4</v>
      </c>
      <c r="B23" s="31">
        <v>1.22942</v>
      </c>
      <c r="E23" s="2">
        <f t="shared" si="0"/>
        <v>1.2434246186901499</v>
      </c>
      <c r="F23">
        <f t="shared" si="1"/>
        <v>-1.4004618690149906E-2</v>
      </c>
      <c r="H23" s="1"/>
    </row>
    <row r="24" spans="1:8" x14ac:dyDescent="0.25">
      <c r="A24" s="31">
        <v>1.2E-4</v>
      </c>
      <c r="B24" s="31">
        <v>1.24733</v>
      </c>
      <c r="E24" s="2">
        <f t="shared" si="0"/>
        <v>1.2433880582827106</v>
      </c>
      <c r="F24">
        <f t="shared" si="1"/>
        <v>3.9419417172894544E-3</v>
      </c>
      <c r="H24" s="1"/>
    </row>
    <row r="25" spans="1:8" x14ac:dyDescent="0.25">
      <c r="A25" s="31">
        <v>1.2799999999999999E-4</v>
      </c>
      <c r="B25" s="31">
        <v>1.2381500000000001</v>
      </c>
      <c r="E25" s="2">
        <f t="shared" si="0"/>
        <v>1.2433515610524044</v>
      </c>
      <c r="F25">
        <f t="shared" si="1"/>
        <v>-5.2015610524043243E-3</v>
      </c>
      <c r="H25" s="1"/>
    </row>
    <row r="26" spans="1:8" x14ac:dyDescent="0.25">
      <c r="A26" s="31">
        <v>1.44E-4</v>
      </c>
      <c r="B26" s="31">
        <v>1.23644</v>
      </c>
      <c r="E26" s="2">
        <f t="shared" si="0"/>
        <v>1.243278755541021</v>
      </c>
      <c r="F26">
        <f t="shared" si="1"/>
        <v>-6.8387555410209799E-3</v>
      </c>
      <c r="H26" s="1"/>
    </row>
    <row r="27" spans="1:8" x14ac:dyDescent="0.25">
      <c r="A27" s="31">
        <v>1.6000000000000001E-4</v>
      </c>
      <c r="B27" s="31">
        <v>1.2370000000000001</v>
      </c>
      <c r="E27" s="2">
        <f t="shared" si="0"/>
        <v>1.2432062009950524</v>
      </c>
      <c r="F27">
        <f t="shared" si="1"/>
        <v>-6.2062009950523134E-3</v>
      </c>
      <c r="H27" s="1"/>
    </row>
    <row r="28" spans="1:8" x14ac:dyDescent="0.25">
      <c r="A28" s="31">
        <v>1.76E-4</v>
      </c>
      <c r="B28" s="31">
        <v>1.2472799999999999</v>
      </c>
      <c r="E28" s="2">
        <f t="shared" si="0"/>
        <v>1.2431338962589631</v>
      </c>
      <c r="F28">
        <f t="shared" si="1"/>
        <v>4.1461037410368551E-3</v>
      </c>
      <c r="H28" s="1"/>
    </row>
    <row r="29" spans="1:8" x14ac:dyDescent="0.25">
      <c r="A29" s="31">
        <v>1.92E-4</v>
      </c>
      <c r="B29" s="31">
        <v>1.23828</v>
      </c>
      <c r="E29" s="2">
        <f t="shared" si="0"/>
        <v>1.2430618401826019</v>
      </c>
      <c r="F29">
        <f t="shared" si="1"/>
        <v>-4.7818401826018597E-3</v>
      </c>
      <c r="H29" s="1"/>
    </row>
    <row r="30" spans="1:8" x14ac:dyDescent="0.25">
      <c r="A30" s="31">
        <v>2.0799999999999999E-4</v>
      </c>
      <c r="B30" s="31">
        <v>1.23736</v>
      </c>
      <c r="E30" s="2">
        <f t="shared" si="0"/>
        <v>1.242990031621179</v>
      </c>
      <c r="F30">
        <f t="shared" si="1"/>
        <v>-5.6300316211790324E-3</v>
      </c>
      <c r="H30" s="1"/>
    </row>
    <row r="31" spans="1:8" x14ac:dyDescent="0.25">
      <c r="A31" s="31">
        <v>2.24E-4</v>
      </c>
      <c r="B31" s="31">
        <v>1.24346</v>
      </c>
      <c r="E31" s="2">
        <f t="shared" si="0"/>
        <v>1.2429184694352393</v>
      </c>
      <c r="F31">
        <f t="shared" si="1"/>
        <v>5.4153056476069494E-4</v>
      </c>
      <c r="H31" s="1"/>
    </row>
    <row r="32" spans="1:8" x14ac:dyDescent="0.25">
      <c r="A32" s="31">
        <v>2.4000000000000001E-4</v>
      </c>
      <c r="B32" s="31">
        <v>1.24837</v>
      </c>
      <c r="E32" s="2">
        <f t="shared" si="0"/>
        <v>1.2428471524906386</v>
      </c>
      <c r="F32">
        <f t="shared" si="1"/>
        <v>5.5228475093613838E-3</v>
      </c>
      <c r="H32" s="1"/>
    </row>
    <row r="33" spans="1:8" x14ac:dyDescent="0.25">
      <c r="A33" s="31">
        <v>2.5599999999999999E-4</v>
      </c>
      <c r="B33" s="31">
        <v>1.23976</v>
      </c>
      <c r="E33" s="2">
        <f t="shared" si="0"/>
        <v>1.2427760796585183</v>
      </c>
      <c r="F33">
        <f t="shared" si="1"/>
        <v>-3.0160796585183558E-3</v>
      </c>
      <c r="H33" s="1"/>
    </row>
    <row r="34" spans="1:8" x14ac:dyDescent="0.25">
      <c r="A34" s="31">
        <v>2.8800000000000001E-4</v>
      </c>
      <c r="B34" s="31">
        <v>1.24261</v>
      </c>
      <c r="E34" s="2">
        <f t="shared" si="0"/>
        <v>1.2426346618425652</v>
      </c>
      <c r="F34">
        <f t="shared" si="1"/>
        <v>-2.4661842565221193E-5</v>
      </c>
      <c r="H34" s="1"/>
    </row>
    <row r="35" spans="1:8" x14ac:dyDescent="0.25">
      <c r="A35" s="31">
        <v>3.2000000000000003E-4</v>
      </c>
      <c r="B35" s="31">
        <v>1.24854</v>
      </c>
      <c r="E35" s="2">
        <f t="shared" si="0"/>
        <v>1.242494207061291</v>
      </c>
      <c r="F35">
        <f t="shared" si="1"/>
        <v>6.0457929387089937E-3</v>
      </c>
      <c r="H35" s="1"/>
    </row>
    <row r="36" spans="1:8" x14ac:dyDescent="0.25">
      <c r="A36" s="31">
        <v>3.5199999999999999E-4</v>
      </c>
      <c r="B36" s="31">
        <v>1.2404500000000001</v>
      </c>
      <c r="E36" s="2">
        <f t="shared" si="0"/>
        <v>1.2423547064716123</v>
      </c>
      <c r="F36">
        <f t="shared" si="1"/>
        <v>-1.9047064716122275E-3</v>
      </c>
      <c r="H36" s="1"/>
    </row>
    <row r="37" spans="1:8" x14ac:dyDescent="0.25">
      <c r="A37" s="31">
        <v>3.8400000000000001E-4</v>
      </c>
      <c r="B37" s="31">
        <v>1.24247</v>
      </c>
      <c r="E37" s="2">
        <f t="shared" si="0"/>
        <v>1.2422161513126784</v>
      </c>
      <c r="F37">
        <f t="shared" si="1"/>
        <v>2.5384868732158949E-4</v>
      </c>
      <c r="H37" s="1"/>
    </row>
    <row r="38" spans="1:8" x14ac:dyDescent="0.25">
      <c r="A38" s="31">
        <v>4.1599999999999997E-4</v>
      </c>
      <c r="B38" s="31">
        <v>1.2413700000000001</v>
      </c>
      <c r="E38" s="2">
        <f t="shared" si="0"/>
        <v>1.2420785329051054</v>
      </c>
      <c r="F38">
        <f t="shared" si="1"/>
        <v>-7.0853290510530798E-4</v>
      </c>
      <c r="H38" s="1"/>
    </row>
    <row r="39" spans="1:8" x14ac:dyDescent="0.25">
      <c r="A39" s="31">
        <v>4.4799999999999999E-4</v>
      </c>
      <c r="B39" s="31">
        <v>1.2412000000000001</v>
      </c>
      <c r="E39" s="2">
        <f t="shared" si="0"/>
        <v>1.2419418426502189</v>
      </c>
      <c r="F39">
        <f t="shared" si="1"/>
        <v>-7.4184265021881579E-4</v>
      </c>
      <c r="H39" s="1"/>
    </row>
    <row r="40" spans="1:8" x14ac:dyDescent="0.25">
      <c r="A40" s="31">
        <v>4.8000000000000001E-4</v>
      </c>
      <c r="B40" s="31">
        <v>1.2417100000000001</v>
      </c>
      <c r="E40" s="2">
        <f t="shared" si="0"/>
        <v>1.2418060720293016</v>
      </c>
      <c r="F40">
        <f t="shared" si="1"/>
        <v>-9.6072029301508266E-5</v>
      </c>
      <c r="H40" s="1"/>
    </row>
    <row r="41" spans="1:8" x14ac:dyDescent="0.25">
      <c r="A41" s="31">
        <v>5.1199999999999998E-4</v>
      </c>
      <c r="B41" s="31">
        <v>1.2415499999999999</v>
      </c>
      <c r="E41" s="2">
        <f t="shared" si="0"/>
        <v>1.2416712126028497</v>
      </c>
      <c r="F41">
        <f t="shared" si="1"/>
        <v>-1.2121260284980728E-4</v>
      </c>
      <c r="H41" s="1"/>
    </row>
    <row r="42" spans="1:8" x14ac:dyDescent="0.25">
      <c r="A42" s="31">
        <v>5.7600000000000001E-4</v>
      </c>
      <c r="B42" s="31">
        <v>1.2415400000000001</v>
      </c>
      <c r="E42" s="2">
        <f t="shared" si="0"/>
        <v>1.2414041939669769</v>
      </c>
      <c r="F42">
        <f t="shared" si="1"/>
        <v>1.3580603302321137E-4</v>
      </c>
      <c r="H42" s="1"/>
    </row>
    <row r="43" spans="1:8" x14ac:dyDescent="0.25">
      <c r="A43" s="31">
        <v>6.4000000000000005E-4</v>
      </c>
      <c r="B43" s="31">
        <v>1.24275</v>
      </c>
      <c r="E43" s="2">
        <f t="shared" si="0"/>
        <v>1.2411407207829892</v>
      </c>
      <c r="F43">
        <f t="shared" si="1"/>
        <v>1.6092792170108172E-3</v>
      </c>
      <c r="H43" s="1"/>
    </row>
    <row r="44" spans="1:8" x14ac:dyDescent="0.25">
      <c r="A44" s="31">
        <v>7.0399999999999998E-4</v>
      </c>
      <c r="B44" s="31">
        <v>1.2365699999999999</v>
      </c>
      <c r="E44" s="2">
        <f t="shared" si="0"/>
        <v>1.240880728312209</v>
      </c>
      <c r="F44">
        <f t="shared" si="1"/>
        <v>-4.3107283122090223E-3</v>
      </c>
      <c r="H44" s="1"/>
    </row>
    <row r="45" spans="1:8" x14ac:dyDescent="0.25">
      <c r="A45" s="31">
        <v>7.6800000000000002E-4</v>
      </c>
      <c r="B45" s="31">
        <v>1.2425999999999999</v>
      </c>
      <c r="E45" s="2">
        <f t="shared" si="0"/>
        <v>1.2406241530142676</v>
      </c>
      <c r="F45">
        <f t="shared" si="1"/>
        <v>1.9758469857322769E-3</v>
      </c>
      <c r="H45" s="1"/>
    </row>
    <row r="46" spans="1:8" x14ac:dyDescent="0.25">
      <c r="A46" s="31">
        <v>8.3199999999999995E-4</v>
      </c>
      <c r="B46" s="31">
        <v>1.2351000000000001</v>
      </c>
      <c r="E46" s="2">
        <f t="shared" si="0"/>
        <v>1.240370932524903</v>
      </c>
      <c r="F46">
        <f t="shared" si="1"/>
        <v>-5.2709325249029604E-3</v>
      </c>
      <c r="H46" s="1"/>
    </row>
    <row r="47" spans="1:8" x14ac:dyDescent="0.25">
      <c r="A47" s="31">
        <v>8.9599999999999999E-4</v>
      </c>
      <c r="B47" s="31">
        <v>1.24671</v>
      </c>
      <c r="E47" s="2">
        <f t="shared" si="0"/>
        <v>1.2401210056341663</v>
      </c>
      <c r="F47">
        <f t="shared" si="1"/>
        <v>6.5889943658337113E-3</v>
      </c>
      <c r="H47" s="1"/>
    </row>
    <row r="48" spans="1:8" x14ac:dyDescent="0.25">
      <c r="A48" s="31">
        <v>9.6000000000000002E-4</v>
      </c>
      <c r="B48" s="31">
        <v>1.2442899999999999</v>
      </c>
      <c r="E48" s="2">
        <f t="shared" si="0"/>
        <v>1.2398743122650344</v>
      </c>
      <c r="F48">
        <f t="shared" si="1"/>
        <v>4.4156877349654788E-3</v>
      </c>
      <c r="H48" s="1"/>
    </row>
    <row r="49" spans="1:8" x14ac:dyDescent="0.25">
      <c r="A49" s="31">
        <v>1.024E-3</v>
      </c>
      <c r="B49" s="31">
        <v>1.2412000000000001</v>
      </c>
      <c r="E49" s="2">
        <f t="shared" si="0"/>
        <v>1.239630793452418</v>
      </c>
      <c r="F49">
        <f t="shared" si="1"/>
        <v>1.5692065475820804E-3</v>
      </c>
      <c r="H49" s="1"/>
    </row>
    <row r="50" spans="1:8" x14ac:dyDescent="0.25">
      <c r="A50" s="31">
        <v>1.152E-3</v>
      </c>
      <c r="B50" s="31">
        <v>1.2414000000000001</v>
      </c>
      <c r="E50" s="2">
        <f t="shared" si="0"/>
        <v>1.2391530490728075</v>
      </c>
      <c r="F50">
        <f t="shared" si="1"/>
        <v>2.2469509271925148E-3</v>
      </c>
      <c r="H50" s="1"/>
    </row>
    <row r="51" spans="1:8" x14ac:dyDescent="0.25">
      <c r="A51" s="31">
        <v>1.2800000000000001E-3</v>
      </c>
      <c r="B51" s="31">
        <v>1.23743</v>
      </c>
      <c r="E51" s="2">
        <f t="shared" si="0"/>
        <v>1.2386873222398842</v>
      </c>
      <c r="F51">
        <f t="shared" si="1"/>
        <v>-1.2573222398841732E-3</v>
      </c>
      <c r="H51" s="1"/>
    </row>
    <row r="52" spans="1:8" x14ac:dyDescent="0.25">
      <c r="A52" s="31">
        <v>1.408E-3</v>
      </c>
      <c r="B52" s="31">
        <v>1.2382899999999999</v>
      </c>
      <c r="E52" s="2">
        <f t="shared" si="0"/>
        <v>1.2382331792096648</v>
      </c>
      <c r="F52">
        <f t="shared" si="1"/>
        <v>5.6820790335088134E-5</v>
      </c>
      <c r="H52" s="1"/>
    </row>
    <row r="53" spans="1:8" x14ac:dyDescent="0.25">
      <c r="A53" s="31">
        <v>1.536E-3</v>
      </c>
      <c r="B53" s="31">
        <v>1.2392300000000001</v>
      </c>
      <c r="E53" s="2">
        <f t="shared" si="0"/>
        <v>1.2377902021434541</v>
      </c>
      <c r="F53">
        <f t="shared" si="1"/>
        <v>1.4397978565459102E-3</v>
      </c>
      <c r="H53" s="1"/>
    </row>
    <row r="54" spans="1:8" x14ac:dyDescent="0.25">
      <c r="A54" s="31">
        <v>1.6639999999999999E-3</v>
      </c>
      <c r="B54" s="31">
        <v>1.2369699999999999</v>
      </c>
      <c r="E54" s="2">
        <f t="shared" si="0"/>
        <v>1.2373579885239252</v>
      </c>
      <c r="F54">
        <f t="shared" si="1"/>
        <v>-3.8798852392529781E-4</v>
      </c>
      <c r="H54" s="1"/>
    </row>
    <row r="55" spans="1:8" x14ac:dyDescent="0.25">
      <c r="A55" s="31">
        <v>1.792E-3</v>
      </c>
      <c r="B55" s="31">
        <v>1.2365900000000001</v>
      </c>
      <c r="E55" s="2">
        <f t="shared" si="0"/>
        <v>1.2369361505926477</v>
      </c>
      <c r="F55">
        <f t="shared" si="1"/>
        <v>-3.461505926476427E-4</v>
      </c>
      <c r="H55" s="1"/>
    </row>
    <row r="56" spans="1:8" x14ac:dyDescent="0.25">
      <c r="A56" s="31">
        <v>1.92E-3</v>
      </c>
      <c r="B56" s="31">
        <v>1.2345600000000001</v>
      </c>
      <c r="E56" s="2">
        <f t="shared" si="0"/>
        <v>1.2365243148082723</v>
      </c>
      <c r="F56">
        <f t="shared" si="1"/>
        <v>-1.964314808272194E-3</v>
      </c>
      <c r="H56" s="1"/>
    </row>
    <row r="57" spans="1:8" x14ac:dyDescent="0.25">
      <c r="A57" s="31">
        <v>2.0479999999999999E-3</v>
      </c>
      <c r="B57" s="31">
        <v>1.2357199999999999</v>
      </c>
      <c r="E57" s="2">
        <f t="shared" si="0"/>
        <v>1.2361221213246154</v>
      </c>
      <c r="F57">
        <f t="shared" si="1"/>
        <v>-4.0212132461547867E-4</v>
      </c>
      <c r="H57" s="1"/>
    </row>
    <row r="58" spans="1:8" x14ac:dyDescent="0.25">
      <c r="A58" s="31">
        <v>2.3040000000000001E-3</v>
      </c>
      <c r="B58" s="31">
        <v>1.2372399999999999</v>
      </c>
      <c r="E58" s="2">
        <f t="shared" si="0"/>
        <v>1.2353452873525221</v>
      </c>
      <c r="F58">
        <f t="shared" si="1"/>
        <v>1.8947126474777587E-3</v>
      </c>
      <c r="H58" s="1"/>
    </row>
    <row r="59" spans="1:8" x14ac:dyDescent="0.25">
      <c r="A59" s="31">
        <v>2.5600000000000002E-3</v>
      </c>
      <c r="B59" s="31">
        <v>1.2341500000000001</v>
      </c>
      <c r="E59" s="2">
        <f t="shared" si="0"/>
        <v>1.2346030251619511</v>
      </c>
      <c r="F59">
        <f t="shared" si="1"/>
        <v>-4.5302516195100395E-4</v>
      </c>
      <c r="H59" s="1"/>
    </row>
    <row r="60" spans="1:8" x14ac:dyDescent="0.25">
      <c r="A60" s="31">
        <v>2.8159999999999999E-3</v>
      </c>
      <c r="B60" s="31">
        <v>1.2340899999999999</v>
      </c>
      <c r="E60" s="2">
        <f t="shared" si="0"/>
        <v>1.2338929000467569</v>
      </c>
      <c r="F60">
        <f t="shared" si="1"/>
        <v>1.9709995324301843E-4</v>
      </c>
      <c r="H60" s="1"/>
    </row>
    <row r="61" spans="1:8" x14ac:dyDescent="0.25">
      <c r="A61" s="31">
        <v>3.0720000000000001E-3</v>
      </c>
      <c r="B61" s="31">
        <v>1.23698</v>
      </c>
      <c r="E61" s="2">
        <f t="shared" si="0"/>
        <v>1.23321265250218</v>
      </c>
      <c r="F61">
        <f t="shared" si="1"/>
        <v>3.7673474978199284E-3</v>
      </c>
      <c r="H61" s="1"/>
    </row>
    <row r="62" spans="1:8" x14ac:dyDescent="0.25">
      <c r="A62" s="31">
        <v>3.3279999999999998E-3</v>
      </c>
      <c r="B62" s="31">
        <v>1.2304299999999999</v>
      </c>
      <c r="E62" s="2">
        <f t="shared" si="0"/>
        <v>1.2325601855989718</v>
      </c>
      <c r="F62">
        <f t="shared" si="1"/>
        <v>-2.1301855989719343E-3</v>
      </c>
      <c r="H62" s="1"/>
    </row>
    <row r="63" spans="1:8" x14ac:dyDescent="0.25">
      <c r="A63" s="31">
        <v>3.5839999999999999E-3</v>
      </c>
      <c r="B63" s="31">
        <v>1.23122</v>
      </c>
      <c r="E63" s="2">
        <f t="shared" si="0"/>
        <v>1.2319335532677762</v>
      </c>
      <c r="F63">
        <f t="shared" si="1"/>
        <v>-7.1355326777622352E-4</v>
      </c>
      <c r="H63" s="1"/>
    </row>
    <row r="64" spans="1:8" x14ac:dyDescent="0.25">
      <c r="A64" s="31">
        <v>3.8400000000000001E-3</v>
      </c>
      <c r="B64" s="31">
        <v>1.22993</v>
      </c>
      <c r="E64" s="2">
        <f t="shared" si="0"/>
        <v>1.231330949428123</v>
      </c>
      <c r="F64">
        <f t="shared" si="1"/>
        <v>-1.4009494281230772E-3</v>
      </c>
      <c r="H64" s="1"/>
    </row>
    <row r="65" spans="1:8" x14ac:dyDescent="0.25">
      <c r="A65" s="31">
        <v>4.0959999999999998E-3</v>
      </c>
      <c r="B65" s="31">
        <v>1.23136</v>
      </c>
      <c r="E65" s="2">
        <f t="shared" si="0"/>
        <v>1.2307506979011156</v>
      </c>
      <c r="F65">
        <f t="shared" si="1"/>
        <v>6.0930209888443443E-4</v>
      </c>
      <c r="H65" s="1"/>
    </row>
    <row r="66" spans="1:8" x14ac:dyDescent="0.25">
      <c r="A66" s="31">
        <v>4.6080000000000001E-3</v>
      </c>
      <c r="B66" s="31">
        <v>1.22767</v>
      </c>
      <c r="E66" s="2">
        <f t="shared" ref="E66:E129" si="2">$D$2+1/$D$3*($D$8/(1+A66/$D$4)/SQRT(1+A66/$D$4/$D$5/$D$5)+(1-$D$8)/(1+A66/$D$6)/SQRT(1+A66/$D$6/$D$7/$D$7))*(1+$D$9*EXP(-A66/$D$10)+$D$11*EXP(-A66/$D$12))</f>
        <v>1.2296511410912976</v>
      </c>
      <c r="F66">
        <f t="shared" ref="F66:F129" si="3">B66-E66</f>
        <v>-1.9811410912975447E-3</v>
      </c>
      <c r="H66" s="1"/>
    </row>
    <row r="67" spans="1:8" x14ac:dyDescent="0.25">
      <c r="A67" s="31">
        <v>5.1200000000000004E-3</v>
      </c>
      <c r="B67" s="31">
        <v>1.2287999999999999</v>
      </c>
      <c r="E67" s="2">
        <f t="shared" si="2"/>
        <v>1.2286237322365441</v>
      </c>
      <c r="F67">
        <f t="shared" si="3"/>
        <v>1.762677634558063E-4</v>
      </c>
      <c r="H67" s="1"/>
    </row>
    <row r="68" spans="1:8" x14ac:dyDescent="0.25">
      <c r="A68" s="31">
        <v>5.6319999999999999E-3</v>
      </c>
      <c r="B68" s="31">
        <v>1.2278800000000001</v>
      </c>
      <c r="E68" s="2">
        <f t="shared" si="2"/>
        <v>1.2276588661447201</v>
      </c>
      <c r="F68">
        <f t="shared" si="3"/>
        <v>2.2113385527999796E-4</v>
      </c>
      <c r="H68" s="1"/>
    </row>
    <row r="69" spans="1:8" x14ac:dyDescent="0.25">
      <c r="A69" s="31">
        <v>6.1440000000000002E-3</v>
      </c>
      <c r="B69" s="31">
        <v>1.2245200000000001</v>
      </c>
      <c r="E69" s="2">
        <f t="shared" si="2"/>
        <v>1.2267482683781288</v>
      </c>
      <c r="F69">
        <f t="shared" si="3"/>
        <v>-2.2282683781287282E-3</v>
      </c>
      <c r="H69" s="1"/>
    </row>
    <row r="70" spans="1:8" x14ac:dyDescent="0.25">
      <c r="A70" s="31">
        <v>6.6559999999999996E-3</v>
      </c>
      <c r="B70" s="31">
        <v>1.22532</v>
      </c>
      <c r="E70" s="2">
        <f t="shared" si="2"/>
        <v>1.2258848104266351</v>
      </c>
      <c r="F70">
        <f t="shared" si="3"/>
        <v>-5.648104266351428E-4</v>
      </c>
      <c r="H70" s="1"/>
    </row>
    <row r="71" spans="1:8" x14ac:dyDescent="0.25">
      <c r="A71" s="31">
        <v>7.1679999999999999E-3</v>
      </c>
      <c r="B71" s="31">
        <v>1.2249099999999999</v>
      </c>
      <c r="E71" s="2">
        <f t="shared" si="2"/>
        <v>1.2250623505628631</v>
      </c>
      <c r="F71">
        <f t="shared" si="3"/>
        <v>-1.5235056286311277E-4</v>
      </c>
      <c r="H71" s="1"/>
    </row>
    <row r="72" spans="1:8" x14ac:dyDescent="0.25">
      <c r="A72" s="31">
        <v>7.6800000000000002E-3</v>
      </c>
      <c r="B72" s="31">
        <v>1.22526</v>
      </c>
      <c r="E72" s="2">
        <f t="shared" si="2"/>
        <v>1.2242755968097381</v>
      </c>
      <c r="F72">
        <f t="shared" si="3"/>
        <v>9.844031902619399E-4</v>
      </c>
      <c r="H72" s="1"/>
    </row>
    <row r="73" spans="1:8" x14ac:dyDescent="0.25">
      <c r="A73" s="31">
        <v>8.1919999999999996E-3</v>
      </c>
      <c r="B73" s="31">
        <v>1.2238199999999999</v>
      </c>
      <c r="E73" s="2">
        <f t="shared" si="2"/>
        <v>1.2235199889469879</v>
      </c>
      <c r="F73">
        <f t="shared" si="3"/>
        <v>3.0001105301202813E-4</v>
      </c>
      <c r="H73" s="1"/>
    </row>
    <row r="74" spans="1:8" x14ac:dyDescent="0.25">
      <c r="A74" s="31">
        <v>9.2160000000000002E-3</v>
      </c>
      <c r="B74" s="31">
        <v>1.2213700000000001</v>
      </c>
      <c r="E74" s="2">
        <f t="shared" si="2"/>
        <v>1.2220870333064773</v>
      </c>
      <c r="F74">
        <f t="shared" si="3"/>
        <v>-7.1703330647721053E-4</v>
      </c>
      <c r="H74" s="1"/>
    </row>
    <row r="75" spans="1:8" x14ac:dyDescent="0.25">
      <c r="A75" s="31">
        <v>1.0240000000000001E-2</v>
      </c>
      <c r="B75" s="31">
        <v>1.21963</v>
      </c>
      <c r="E75" s="2">
        <f t="shared" si="2"/>
        <v>1.2207381136391007</v>
      </c>
      <c r="F75">
        <f t="shared" si="3"/>
        <v>-1.1081136391006829E-3</v>
      </c>
      <c r="H75" s="1"/>
    </row>
    <row r="76" spans="1:8" x14ac:dyDescent="0.25">
      <c r="A76" s="31">
        <v>1.1264E-2</v>
      </c>
      <c r="B76" s="31">
        <v>1.2213000000000001</v>
      </c>
      <c r="E76" s="2">
        <f t="shared" si="2"/>
        <v>1.2194543717318105</v>
      </c>
      <c r="F76">
        <f t="shared" si="3"/>
        <v>1.8456282681895697E-3</v>
      </c>
      <c r="H76" s="1"/>
    </row>
    <row r="77" spans="1:8" x14ac:dyDescent="0.25">
      <c r="A77" s="31">
        <v>1.2288E-2</v>
      </c>
      <c r="B77" s="31">
        <v>1.2188699999999999</v>
      </c>
      <c r="E77" s="2">
        <f t="shared" si="2"/>
        <v>1.2182217791427179</v>
      </c>
      <c r="F77">
        <f t="shared" si="3"/>
        <v>6.482208572820003E-4</v>
      </c>
      <c r="H77" s="1"/>
    </row>
    <row r="78" spans="1:8" x14ac:dyDescent="0.25">
      <c r="A78" s="31">
        <v>1.3311999999999999E-2</v>
      </c>
      <c r="B78" s="31">
        <v>1.2174199999999999</v>
      </c>
      <c r="E78" s="2">
        <f t="shared" si="2"/>
        <v>1.2170298899596876</v>
      </c>
      <c r="F78">
        <f t="shared" si="3"/>
        <v>3.9011004031230812E-4</v>
      </c>
      <c r="H78" s="1"/>
    </row>
    <row r="79" spans="1:8" x14ac:dyDescent="0.25">
      <c r="A79" s="31">
        <v>1.4336E-2</v>
      </c>
      <c r="B79" s="31">
        <v>1.2161900000000001</v>
      </c>
      <c r="E79" s="2">
        <f t="shared" si="2"/>
        <v>1.2158709159192693</v>
      </c>
      <c r="F79">
        <f t="shared" si="3"/>
        <v>3.1908408073078043E-4</v>
      </c>
      <c r="H79" s="1"/>
    </row>
    <row r="80" spans="1:8" x14ac:dyDescent="0.25">
      <c r="A80" s="31">
        <v>1.536E-2</v>
      </c>
      <c r="B80" s="31">
        <v>1.2136499999999999</v>
      </c>
      <c r="E80" s="2">
        <f t="shared" si="2"/>
        <v>1.2147390405437939</v>
      </c>
      <c r="F80">
        <f t="shared" si="3"/>
        <v>-1.0890405437939954E-3</v>
      </c>
      <c r="H80" s="1"/>
    </row>
    <row r="81" spans="1:8" x14ac:dyDescent="0.25">
      <c r="A81" s="31">
        <v>1.6383999999999999E-2</v>
      </c>
      <c r="B81" s="31">
        <v>1.21316</v>
      </c>
      <c r="E81" s="2">
        <f t="shared" si="2"/>
        <v>1.2136299105071662</v>
      </c>
      <c r="F81">
        <f t="shared" si="3"/>
        <v>-4.6991050716616023E-4</v>
      </c>
      <c r="H81" s="1"/>
    </row>
    <row r="82" spans="1:8" x14ac:dyDescent="0.25">
      <c r="A82" s="31">
        <v>1.8432E-2</v>
      </c>
      <c r="B82" s="31">
        <v>1.21279</v>
      </c>
      <c r="E82" s="2">
        <f t="shared" si="2"/>
        <v>1.211467623049568</v>
      </c>
      <c r="F82">
        <f t="shared" si="3"/>
        <v>1.3223769504320249E-3</v>
      </c>
      <c r="H82" s="1"/>
    </row>
    <row r="83" spans="1:8" x14ac:dyDescent="0.25">
      <c r="A83" s="31">
        <v>2.0480000000000002E-2</v>
      </c>
      <c r="B83" s="31">
        <v>1.2095899999999999</v>
      </c>
      <c r="E83" s="2">
        <f t="shared" si="2"/>
        <v>1.2093663969857231</v>
      </c>
      <c r="F83">
        <f t="shared" si="3"/>
        <v>2.2360301427681861E-4</v>
      </c>
      <c r="H83" s="1"/>
    </row>
    <row r="84" spans="1:8" x14ac:dyDescent="0.25">
      <c r="A84" s="31">
        <v>2.2527999999999999E-2</v>
      </c>
      <c r="B84" s="31">
        <v>1.2069000000000001</v>
      </c>
      <c r="E84" s="2">
        <f t="shared" si="2"/>
        <v>1.2073160132960596</v>
      </c>
      <c r="F84">
        <f t="shared" si="3"/>
        <v>-4.1601329605955861E-4</v>
      </c>
      <c r="H84" s="1"/>
    </row>
    <row r="85" spans="1:8" x14ac:dyDescent="0.25">
      <c r="A85" s="31">
        <v>2.4576000000000001E-2</v>
      </c>
      <c r="B85" s="31">
        <v>1.2057100000000001</v>
      </c>
      <c r="E85" s="2">
        <f t="shared" si="2"/>
        <v>1.2053103639748057</v>
      </c>
      <c r="F85">
        <f t="shared" si="3"/>
        <v>3.9963602519432762E-4</v>
      </c>
      <c r="H85" s="1"/>
    </row>
    <row r="86" spans="1:8" x14ac:dyDescent="0.25">
      <c r="A86" s="31">
        <v>2.6623999999999998E-2</v>
      </c>
      <c r="B86" s="31">
        <v>1.2035899999999999</v>
      </c>
      <c r="E86" s="2">
        <f t="shared" si="2"/>
        <v>1.203345621121565</v>
      </c>
      <c r="F86">
        <f t="shared" si="3"/>
        <v>2.4437887843498096E-4</v>
      </c>
      <c r="H86" s="1"/>
    </row>
    <row r="87" spans="1:8" x14ac:dyDescent="0.25">
      <c r="A87" s="31">
        <v>2.8672E-2</v>
      </c>
      <c r="B87" s="31">
        <v>1.20157</v>
      </c>
      <c r="E87" s="2">
        <f t="shared" si="2"/>
        <v>1.2014192287614631</v>
      </c>
      <c r="F87">
        <f t="shared" si="3"/>
        <v>1.5077123853690644E-4</v>
      </c>
      <c r="H87" s="1"/>
    </row>
    <row r="88" spans="1:8" x14ac:dyDescent="0.25">
      <c r="A88" s="31">
        <v>3.0720000000000001E-2</v>
      </c>
      <c r="B88" s="31">
        <v>1.1994800000000001</v>
      </c>
      <c r="E88" s="2">
        <f t="shared" si="2"/>
        <v>1.1995293473113346</v>
      </c>
      <c r="F88">
        <f t="shared" si="3"/>
        <v>-4.9347311334546617E-5</v>
      </c>
      <c r="H88" s="1"/>
    </row>
    <row r="89" spans="1:8" x14ac:dyDescent="0.25">
      <c r="A89" s="31">
        <v>3.2767999999999999E-2</v>
      </c>
      <c r="B89" s="31">
        <v>1.1980299999999999</v>
      </c>
      <c r="E89" s="2">
        <f t="shared" si="2"/>
        <v>1.1976745471259387</v>
      </c>
      <c r="F89">
        <f t="shared" si="3"/>
        <v>3.5545287406124615E-4</v>
      </c>
      <c r="H89" s="1"/>
    </row>
    <row r="90" spans="1:8" x14ac:dyDescent="0.25">
      <c r="A90" s="31">
        <v>3.6864000000000001E-2</v>
      </c>
      <c r="B90" s="31">
        <v>1.19404</v>
      </c>
      <c r="E90" s="2">
        <f t="shared" si="2"/>
        <v>1.194065580977304</v>
      </c>
      <c r="F90">
        <f t="shared" si="3"/>
        <v>-2.5580977303985009E-5</v>
      </c>
      <c r="H90" s="1"/>
    </row>
    <row r="91" spans="1:8" x14ac:dyDescent="0.25">
      <c r="A91" s="31">
        <v>4.0960000000000003E-2</v>
      </c>
      <c r="B91" s="31">
        <v>1.19055</v>
      </c>
      <c r="E91" s="2">
        <f t="shared" si="2"/>
        <v>1.1905842872336856</v>
      </c>
      <c r="F91">
        <f t="shared" si="3"/>
        <v>-3.4287233685592611E-5</v>
      </c>
      <c r="H91" s="1"/>
    </row>
    <row r="92" spans="1:8" x14ac:dyDescent="0.25">
      <c r="A92" s="31">
        <v>4.5055999999999999E-2</v>
      </c>
      <c r="B92" s="31">
        <v>1.1874800000000001</v>
      </c>
      <c r="E92" s="2">
        <f t="shared" si="2"/>
        <v>1.1872237686591423</v>
      </c>
      <c r="F92">
        <f t="shared" si="3"/>
        <v>2.5623134085783761E-4</v>
      </c>
      <c r="H92" s="1"/>
    </row>
    <row r="93" spans="1:8" x14ac:dyDescent="0.25">
      <c r="A93" s="31">
        <v>4.9152000000000001E-2</v>
      </c>
      <c r="B93" s="31">
        <v>1.18425</v>
      </c>
      <c r="E93" s="2">
        <f t="shared" si="2"/>
        <v>1.183977776558</v>
      </c>
      <c r="F93">
        <f t="shared" si="3"/>
        <v>2.7222344200006354E-4</v>
      </c>
      <c r="H93" s="1"/>
    </row>
    <row r="94" spans="1:8" x14ac:dyDescent="0.25">
      <c r="A94" s="31">
        <v>5.3247999999999997E-2</v>
      </c>
      <c r="B94" s="31">
        <v>1.1801299999999999</v>
      </c>
      <c r="E94" s="2">
        <f t="shared" si="2"/>
        <v>1.180840534998189</v>
      </c>
      <c r="F94">
        <f t="shared" si="3"/>
        <v>-7.1053499818907184E-4</v>
      </c>
      <c r="H94" s="1"/>
    </row>
    <row r="95" spans="1:8" x14ac:dyDescent="0.25">
      <c r="A95" s="31">
        <v>5.7343999999999999E-2</v>
      </c>
      <c r="B95" s="31">
        <v>1.1780600000000001</v>
      </c>
      <c r="E95" s="2">
        <f t="shared" si="2"/>
        <v>1.1778066649585783</v>
      </c>
      <c r="F95">
        <f t="shared" si="3"/>
        <v>2.533350414217761E-4</v>
      </c>
      <c r="H95" s="1"/>
    </row>
    <row r="96" spans="1:8" x14ac:dyDescent="0.25">
      <c r="A96" s="31">
        <v>6.1440000000000002E-2</v>
      </c>
      <c r="B96" s="31">
        <v>1.1751400000000001</v>
      </c>
      <c r="E96" s="2">
        <f t="shared" si="2"/>
        <v>1.1748711409529231</v>
      </c>
      <c r="F96">
        <f t="shared" si="3"/>
        <v>2.6885904707696362E-4</v>
      </c>
      <c r="H96" s="1"/>
    </row>
    <row r="97" spans="1:8" x14ac:dyDescent="0.25">
      <c r="A97" s="31">
        <v>6.5535999999999997E-2</v>
      </c>
      <c r="B97" s="31">
        <v>1.1721699999999999</v>
      </c>
      <c r="E97" s="2">
        <f t="shared" si="2"/>
        <v>1.1720292594380508</v>
      </c>
      <c r="F97">
        <f t="shared" si="3"/>
        <v>1.4074056194912643E-4</v>
      </c>
      <c r="H97" s="1"/>
    </row>
    <row r="98" spans="1:8" x14ac:dyDescent="0.25">
      <c r="A98" s="31">
        <v>7.3728000000000002E-2</v>
      </c>
      <c r="B98" s="31">
        <v>1.1661999999999999</v>
      </c>
      <c r="E98" s="2">
        <f t="shared" si="2"/>
        <v>1.1666090647988447</v>
      </c>
      <c r="F98">
        <f t="shared" si="3"/>
        <v>-4.0906479884483815E-4</v>
      </c>
      <c r="H98" s="1"/>
    </row>
    <row r="99" spans="1:8" x14ac:dyDescent="0.25">
      <c r="A99" s="31">
        <v>8.1920000000000007E-2</v>
      </c>
      <c r="B99" s="31">
        <v>1.1611800000000001</v>
      </c>
      <c r="E99" s="2">
        <f t="shared" si="2"/>
        <v>1.1615139648556236</v>
      </c>
      <c r="F99">
        <f t="shared" si="3"/>
        <v>-3.3396485562353639E-4</v>
      </c>
      <c r="H99" s="1"/>
    </row>
    <row r="100" spans="1:8" x14ac:dyDescent="0.25">
      <c r="A100" s="31">
        <v>9.0111999999999998E-2</v>
      </c>
      <c r="B100" s="31">
        <v>1.15642</v>
      </c>
      <c r="E100" s="2">
        <f t="shared" si="2"/>
        <v>1.1567155816653361</v>
      </c>
      <c r="F100">
        <f t="shared" si="3"/>
        <v>-2.9558166533605323E-4</v>
      </c>
      <c r="H100" s="1"/>
    </row>
    <row r="101" spans="1:8" x14ac:dyDescent="0.25">
      <c r="A101" s="31">
        <v>9.8304000000000002E-2</v>
      </c>
      <c r="B101" s="31">
        <v>1.1522399999999999</v>
      </c>
      <c r="E101" s="2">
        <f t="shared" si="2"/>
        <v>1.1521887467148226</v>
      </c>
      <c r="F101">
        <f t="shared" si="3"/>
        <v>5.1253285177299546E-5</v>
      </c>
      <c r="H101" s="1"/>
    </row>
    <row r="102" spans="1:8" x14ac:dyDescent="0.25">
      <c r="A102" s="31">
        <v>0.10649599999999999</v>
      </c>
      <c r="B102" s="31">
        <v>1.1478600000000001</v>
      </c>
      <c r="E102" s="2">
        <f t="shared" si="2"/>
        <v>1.1479110596529827</v>
      </c>
      <c r="F102">
        <f t="shared" si="3"/>
        <v>-5.1059652982576864E-5</v>
      </c>
      <c r="H102" s="1"/>
    </row>
    <row r="103" spans="1:8" x14ac:dyDescent="0.25">
      <c r="A103" s="31">
        <v>0.114688</v>
      </c>
      <c r="B103" s="31">
        <v>1.1439299999999999</v>
      </c>
      <c r="E103" s="2">
        <f t="shared" si="2"/>
        <v>1.1438625179021056</v>
      </c>
      <c r="F103">
        <f t="shared" si="3"/>
        <v>6.7482097894311366E-5</v>
      </c>
      <c r="H103" s="1"/>
    </row>
    <row r="104" spans="1:8" x14ac:dyDescent="0.25">
      <c r="A104" s="31">
        <v>0.12288</v>
      </c>
      <c r="B104" s="31">
        <v>1.1401699999999999</v>
      </c>
      <c r="E104" s="2">
        <f t="shared" si="2"/>
        <v>1.1400252041923422</v>
      </c>
      <c r="F104">
        <f t="shared" si="3"/>
        <v>1.4479580765769384E-4</v>
      </c>
      <c r="H104" s="1"/>
    </row>
    <row r="105" spans="1:8" x14ac:dyDescent="0.25">
      <c r="A105" s="31">
        <v>0.13107199999999999</v>
      </c>
      <c r="B105" s="31">
        <v>1.13608</v>
      </c>
      <c r="E105" s="2">
        <f t="shared" si="2"/>
        <v>1.1363830217179067</v>
      </c>
      <c r="F105">
        <f t="shared" si="3"/>
        <v>-3.0302171790674848E-4</v>
      </c>
      <c r="H105" s="1"/>
    </row>
    <row r="106" spans="1:8" x14ac:dyDescent="0.25">
      <c r="A106" s="31">
        <v>0.147456</v>
      </c>
      <c r="B106" s="31">
        <v>1.1292599999999999</v>
      </c>
      <c r="E106" s="2">
        <f t="shared" si="2"/>
        <v>1.1296274453952984</v>
      </c>
      <c r="F106">
        <f t="shared" si="3"/>
        <v>-3.674453952984269E-4</v>
      </c>
      <c r="H106" s="1"/>
    </row>
    <row r="107" spans="1:8" x14ac:dyDescent="0.25">
      <c r="A107" s="31">
        <v>0.16384000000000001</v>
      </c>
      <c r="B107" s="31">
        <v>1.1232800000000001</v>
      </c>
      <c r="E107" s="2">
        <f t="shared" si="2"/>
        <v>1.1234956308775317</v>
      </c>
      <c r="F107">
        <f t="shared" si="3"/>
        <v>-2.1563087753162513E-4</v>
      </c>
      <c r="H107" s="1"/>
    </row>
    <row r="108" spans="1:8" x14ac:dyDescent="0.25">
      <c r="A108" s="31">
        <v>0.180224</v>
      </c>
      <c r="B108" s="31">
        <v>1.1178600000000001</v>
      </c>
      <c r="E108" s="2">
        <f t="shared" si="2"/>
        <v>1.1179050813443727</v>
      </c>
      <c r="F108">
        <f t="shared" si="3"/>
        <v>-4.5081344372643883E-5</v>
      </c>
      <c r="H108" s="1"/>
    </row>
    <row r="109" spans="1:8" x14ac:dyDescent="0.25">
      <c r="A109" s="31">
        <v>0.196608</v>
      </c>
      <c r="B109" s="31">
        <v>1.11277</v>
      </c>
      <c r="E109" s="2">
        <f t="shared" si="2"/>
        <v>1.1127872327458448</v>
      </c>
      <c r="F109">
        <f t="shared" si="3"/>
        <v>-1.7232745844752984E-5</v>
      </c>
      <c r="H109" s="1"/>
    </row>
    <row r="110" spans="1:8" x14ac:dyDescent="0.25">
      <c r="A110" s="31">
        <v>0.21299199999999999</v>
      </c>
      <c r="B110" s="31">
        <v>1.10771</v>
      </c>
      <c r="E110" s="2">
        <f t="shared" si="2"/>
        <v>1.108084631611544</v>
      </c>
      <c r="F110">
        <f t="shared" si="3"/>
        <v>-3.7463161154405178E-4</v>
      </c>
      <c r="H110" s="1"/>
    </row>
    <row r="111" spans="1:8" x14ac:dyDescent="0.25">
      <c r="A111" s="31">
        <v>0.229376</v>
      </c>
      <c r="B111" s="31">
        <v>1.10372</v>
      </c>
      <c r="E111" s="2">
        <f t="shared" si="2"/>
        <v>1.1037487721393584</v>
      </c>
      <c r="F111">
        <f t="shared" si="3"/>
        <v>-2.877213935836842E-5</v>
      </c>
      <c r="H111" s="1"/>
    </row>
    <row r="112" spans="1:8" x14ac:dyDescent="0.25">
      <c r="A112" s="31">
        <v>0.24576000000000001</v>
      </c>
      <c r="B112" s="31">
        <v>1.09954</v>
      </c>
      <c r="E112" s="2">
        <f t="shared" si="2"/>
        <v>1.0997384196172522</v>
      </c>
      <c r="F112">
        <f t="shared" si="3"/>
        <v>-1.9841961725219903E-4</v>
      </c>
      <c r="H112" s="1"/>
    </row>
    <row r="113" spans="1:8" x14ac:dyDescent="0.25">
      <c r="A113" s="31">
        <v>0.26214399999999999</v>
      </c>
      <c r="B113" s="31">
        <v>1.0960700000000001</v>
      </c>
      <c r="E113" s="2">
        <f t="shared" si="2"/>
        <v>1.0960182972084556</v>
      </c>
      <c r="F113">
        <f t="shared" si="3"/>
        <v>5.170279154453894E-5</v>
      </c>
      <c r="H113" s="1"/>
    </row>
    <row r="114" spans="1:8" x14ac:dyDescent="0.25">
      <c r="A114" s="31">
        <v>0.29491200000000001</v>
      </c>
      <c r="B114" s="31">
        <v>1.0893200000000001</v>
      </c>
      <c r="E114" s="2">
        <f t="shared" si="2"/>
        <v>1.0893314035235255</v>
      </c>
      <c r="F114">
        <f t="shared" si="3"/>
        <v>-1.1403523525466142E-5</v>
      </c>
      <c r="H114" s="1"/>
    </row>
    <row r="115" spans="1:8" x14ac:dyDescent="0.25">
      <c r="A115" s="31">
        <v>0.32768000000000003</v>
      </c>
      <c r="B115" s="31">
        <v>1.0834299999999999</v>
      </c>
      <c r="E115" s="2">
        <f t="shared" si="2"/>
        <v>1.0834904467805986</v>
      </c>
      <c r="F115">
        <f t="shared" si="3"/>
        <v>-6.0446780598688576E-5</v>
      </c>
      <c r="H115" s="1"/>
    </row>
    <row r="116" spans="1:8" x14ac:dyDescent="0.25">
      <c r="A116" s="31">
        <v>0.36044799999999999</v>
      </c>
      <c r="B116" s="31">
        <v>1.0784</v>
      </c>
      <c r="E116" s="2">
        <f t="shared" si="2"/>
        <v>1.0783447234447148</v>
      </c>
      <c r="F116">
        <f t="shared" si="3"/>
        <v>5.5276555285255213E-5</v>
      </c>
      <c r="H116" s="1"/>
    </row>
    <row r="117" spans="1:8" x14ac:dyDescent="0.25">
      <c r="A117" s="31">
        <v>0.39321600000000001</v>
      </c>
      <c r="B117" s="31">
        <v>1.0739099999999999</v>
      </c>
      <c r="E117" s="2">
        <f t="shared" si="2"/>
        <v>1.0737773162891968</v>
      </c>
      <c r="F117">
        <f t="shared" si="3"/>
        <v>1.3268371080310537E-4</v>
      </c>
      <c r="H117" s="1"/>
    </row>
    <row r="118" spans="1:8" x14ac:dyDescent="0.25">
      <c r="A118" s="31">
        <v>0.42598399999999997</v>
      </c>
      <c r="B118" s="31">
        <v>1.06999</v>
      </c>
      <c r="E118" s="2">
        <f t="shared" si="2"/>
        <v>1.069696128773439</v>
      </c>
      <c r="F118">
        <f t="shared" si="3"/>
        <v>2.9387122656099329E-4</v>
      </c>
      <c r="H118" s="1"/>
    </row>
    <row r="119" spans="1:8" x14ac:dyDescent="0.25">
      <c r="A119" s="31">
        <v>0.45875199999999999</v>
      </c>
      <c r="B119" s="31">
        <v>1.0660799999999999</v>
      </c>
      <c r="E119" s="2">
        <f t="shared" si="2"/>
        <v>1.0660276305033314</v>
      </c>
      <c r="F119">
        <f t="shared" si="3"/>
        <v>5.2369496668536186E-5</v>
      </c>
      <c r="H119" s="1"/>
    </row>
    <row r="120" spans="1:8" x14ac:dyDescent="0.25">
      <c r="A120" s="31">
        <v>0.49152000000000001</v>
      </c>
      <c r="B120" s="31">
        <v>1.0629200000000001</v>
      </c>
      <c r="E120" s="2">
        <f t="shared" si="2"/>
        <v>1.0627124032363602</v>
      </c>
      <c r="F120">
        <f t="shared" si="3"/>
        <v>2.0759676363990565E-4</v>
      </c>
      <c r="H120" s="1"/>
    </row>
    <row r="121" spans="1:8" x14ac:dyDescent="0.25">
      <c r="A121" s="31">
        <v>0.52428799999999998</v>
      </c>
      <c r="B121" s="31">
        <v>1.0600400000000001</v>
      </c>
      <c r="E121" s="2">
        <f t="shared" si="2"/>
        <v>1.0597019103908172</v>
      </c>
      <c r="F121">
        <f t="shared" si="3"/>
        <v>3.380896091829122E-4</v>
      </c>
      <c r="H121" s="1"/>
    </row>
    <row r="122" spans="1:8" x14ac:dyDescent="0.25">
      <c r="A122" s="31">
        <v>0.58982400000000001</v>
      </c>
      <c r="B122" s="31">
        <v>1.0546199999999999</v>
      </c>
      <c r="E122" s="2">
        <f t="shared" si="2"/>
        <v>1.0544416977827087</v>
      </c>
      <c r="F122">
        <f t="shared" si="3"/>
        <v>1.783022172912041E-4</v>
      </c>
      <c r="H122" s="1"/>
    </row>
    <row r="123" spans="1:8" x14ac:dyDescent="0.25">
      <c r="A123" s="31">
        <v>0.65536000000000005</v>
      </c>
      <c r="B123" s="31">
        <v>1.0499099999999999</v>
      </c>
      <c r="E123" s="2">
        <f t="shared" si="2"/>
        <v>1.0499995065494401</v>
      </c>
      <c r="F123">
        <f t="shared" si="3"/>
        <v>-8.9506549440176997E-5</v>
      </c>
      <c r="H123" s="1"/>
    </row>
    <row r="124" spans="1:8" x14ac:dyDescent="0.25">
      <c r="A124" s="31">
        <v>0.72089599999999998</v>
      </c>
      <c r="B124" s="31">
        <v>1.0463899999999999</v>
      </c>
      <c r="E124" s="2">
        <f t="shared" si="2"/>
        <v>1.0461989649007337</v>
      </c>
      <c r="F124">
        <f t="shared" si="3"/>
        <v>1.9103509926621243E-4</v>
      </c>
      <c r="H124" s="1"/>
    </row>
    <row r="125" spans="1:8" x14ac:dyDescent="0.25">
      <c r="A125" s="31">
        <v>0.78643200000000002</v>
      </c>
      <c r="B125" s="31">
        <v>1.0430600000000001</v>
      </c>
      <c r="E125" s="2">
        <f t="shared" si="2"/>
        <v>1.0429109850980571</v>
      </c>
      <c r="F125">
        <f t="shared" si="3"/>
        <v>1.4901490194296763E-4</v>
      </c>
      <c r="H125" s="1"/>
    </row>
    <row r="126" spans="1:8" x14ac:dyDescent="0.25">
      <c r="A126" s="31">
        <v>0.85196799999999995</v>
      </c>
      <c r="B126" s="31">
        <v>1.0403</v>
      </c>
      <c r="E126" s="2">
        <f t="shared" si="2"/>
        <v>1.0400389138282768</v>
      </c>
      <c r="F126">
        <f t="shared" si="3"/>
        <v>2.6108617172315718E-4</v>
      </c>
      <c r="H126" s="1"/>
    </row>
    <row r="127" spans="1:8" x14ac:dyDescent="0.25">
      <c r="A127" s="31">
        <v>0.91750399999999999</v>
      </c>
      <c r="B127" s="31">
        <v>1.03813</v>
      </c>
      <c r="E127" s="2">
        <f t="shared" si="2"/>
        <v>1.0375089480717834</v>
      </c>
      <c r="F127">
        <f t="shared" si="3"/>
        <v>6.2105192821659827E-4</v>
      </c>
      <c r="H127" s="1"/>
    </row>
    <row r="128" spans="1:8" x14ac:dyDescent="0.25">
      <c r="A128" s="31">
        <v>0.98304000000000002</v>
      </c>
      <c r="B128" s="31">
        <v>1.0357099999999999</v>
      </c>
      <c r="E128" s="2">
        <f t="shared" si="2"/>
        <v>1.0352637597549734</v>
      </c>
      <c r="F128">
        <f t="shared" si="3"/>
        <v>4.4624024502648574E-4</v>
      </c>
      <c r="H128" s="1"/>
    </row>
    <row r="129" spans="1:8" x14ac:dyDescent="0.25">
      <c r="A129" s="31">
        <v>1.048576</v>
      </c>
      <c r="B129" s="31">
        <v>1.0337099999999999</v>
      </c>
      <c r="E129" s="2">
        <f t="shared" si="2"/>
        <v>1.0332581420722085</v>
      </c>
      <c r="F129">
        <f t="shared" si="3"/>
        <v>4.5185792779145473E-4</v>
      </c>
      <c r="H129" s="1"/>
    </row>
    <row r="130" spans="1:8" x14ac:dyDescent="0.25">
      <c r="A130" s="31">
        <v>1.179648</v>
      </c>
      <c r="B130" s="31">
        <v>1.0300800000000001</v>
      </c>
      <c r="E130" s="2">
        <f t="shared" ref="E130:E193" si="4">$D$2+1/$D$3*($D$8/(1+A130/$D$4)/SQRT(1+A130/$D$4/$D$5/$D$5)+(1-$D$8)/(1+A130/$D$6)/SQRT(1+A130/$D$6/$D$7/$D$7))*(1+$D$9*EXP(-A130/$D$10)+$D$11*EXP(-A130/$D$12))</f>
        <v>1.0298280158869386</v>
      </c>
      <c r="F130">
        <f t="shared" ref="F130:F193" si="5">B130-E130</f>
        <v>2.5198411306148749E-4</v>
      </c>
      <c r="H130" s="1"/>
    </row>
    <row r="131" spans="1:8" x14ac:dyDescent="0.25">
      <c r="A131" s="31">
        <v>1.3107200000000001</v>
      </c>
      <c r="B131" s="31">
        <v>1.02721</v>
      </c>
      <c r="E131" s="2">
        <f t="shared" si="4"/>
        <v>1.0270034110805815</v>
      </c>
      <c r="F131">
        <f t="shared" si="5"/>
        <v>2.0658891941849333E-4</v>
      </c>
      <c r="H131" s="1"/>
    </row>
    <row r="132" spans="1:8" x14ac:dyDescent="0.25">
      <c r="A132" s="31">
        <v>1.441792</v>
      </c>
      <c r="B132" s="31">
        <v>1.0245500000000001</v>
      </c>
      <c r="E132" s="2">
        <f t="shared" si="4"/>
        <v>1.0246382570402932</v>
      </c>
      <c r="F132">
        <f t="shared" si="5"/>
        <v>-8.8257040293138189E-5</v>
      </c>
      <c r="H132" s="1"/>
    </row>
    <row r="133" spans="1:8" x14ac:dyDescent="0.25">
      <c r="A133" s="31">
        <v>1.572864</v>
      </c>
      <c r="B133" s="31">
        <v>1.0224800000000001</v>
      </c>
      <c r="E133" s="2">
        <f t="shared" si="4"/>
        <v>1.0226299064816959</v>
      </c>
      <c r="F133">
        <f t="shared" si="5"/>
        <v>-1.4990648169588283E-4</v>
      </c>
      <c r="H133" s="1"/>
    </row>
    <row r="134" spans="1:8" x14ac:dyDescent="0.25">
      <c r="A134" s="31">
        <v>1.7039359999999999</v>
      </c>
      <c r="B134" s="31">
        <v>1.0204500000000001</v>
      </c>
      <c r="E134" s="2">
        <f t="shared" si="4"/>
        <v>1.0209041198486168</v>
      </c>
      <c r="F134">
        <f t="shared" si="5"/>
        <v>-4.5411984861676302E-4</v>
      </c>
      <c r="H134" s="1"/>
    </row>
    <row r="135" spans="1:8" x14ac:dyDescent="0.25">
      <c r="A135" s="31">
        <v>1.835008</v>
      </c>
      <c r="B135" s="31">
        <v>1.0189299999999999</v>
      </c>
      <c r="E135" s="2">
        <f t="shared" si="4"/>
        <v>1.0194058771415546</v>
      </c>
      <c r="F135">
        <f t="shared" si="5"/>
        <v>-4.7587714155472582E-4</v>
      </c>
      <c r="H135" s="1"/>
    </row>
    <row r="136" spans="1:8" x14ac:dyDescent="0.25">
      <c r="A136" s="31">
        <v>1.96608</v>
      </c>
      <c r="B136" s="31">
        <v>1.0178199999999999</v>
      </c>
      <c r="E136" s="2">
        <f t="shared" si="4"/>
        <v>1.0180935389953079</v>
      </c>
      <c r="F136">
        <f t="shared" si="5"/>
        <v>-2.7353899530790926E-4</v>
      </c>
      <c r="H136" s="1"/>
    </row>
    <row r="137" spans="1:8" x14ac:dyDescent="0.25">
      <c r="A137" s="31">
        <v>2.0971519999999999</v>
      </c>
      <c r="B137" s="31">
        <v>1.0164200000000001</v>
      </c>
      <c r="E137" s="2">
        <f t="shared" si="4"/>
        <v>1.0169350142697551</v>
      </c>
      <c r="F137">
        <f t="shared" si="5"/>
        <v>-5.1501426975497644E-4</v>
      </c>
      <c r="H137" s="1"/>
    </row>
    <row r="138" spans="1:8" x14ac:dyDescent="0.25">
      <c r="A138" s="31">
        <v>2.3592960000000001</v>
      </c>
      <c r="B138" s="31">
        <v>1.01437</v>
      </c>
      <c r="E138" s="2">
        <f t="shared" si="4"/>
        <v>1.0149840587500418</v>
      </c>
      <c r="F138">
        <f t="shared" si="5"/>
        <v>-6.1405875004183486E-4</v>
      </c>
      <c r="H138" s="1"/>
    </row>
    <row r="139" spans="1:8" x14ac:dyDescent="0.25">
      <c r="A139" s="31">
        <v>2.6214400000000002</v>
      </c>
      <c r="B139" s="31">
        <v>1.01284</v>
      </c>
      <c r="E139" s="2">
        <f t="shared" si="4"/>
        <v>1.0134068079778877</v>
      </c>
      <c r="F139">
        <f t="shared" si="5"/>
        <v>-5.6680797788777326E-4</v>
      </c>
      <c r="H139" s="1"/>
    </row>
    <row r="140" spans="1:8" x14ac:dyDescent="0.25">
      <c r="A140" s="31">
        <v>2.8835839999999999</v>
      </c>
      <c r="B140" s="31">
        <v>1.0119</v>
      </c>
      <c r="E140" s="2">
        <f t="shared" si="4"/>
        <v>1.0121069955054034</v>
      </c>
      <c r="F140">
        <f t="shared" si="5"/>
        <v>-2.0699550540337341E-4</v>
      </c>
      <c r="H140" s="1"/>
    </row>
    <row r="141" spans="1:8" x14ac:dyDescent="0.25">
      <c r="A141" s="31">
        <v>3.1457280000000001</v>
      </c>
      <c r="B141" s="31">
        <v>1.0107299999999999</v>
      </c>
      <c r="E141" s="2">
        <f t="shared" si="4"/>
        <v>1.0110186680431841</v>
      </c>
      <c r="F141">
        <f t="shared" si="5"/>
        <v>-2.8866804318417039E-4</v>
      </c>
      <c r="H141" s="1"/>
    </row>
    <row r="142" spans="1:8" x14ac:dyDescent="0.25">
      <c r="A142" s="31">
        <v>3.4078719999999998</v>
      </c>
      <c r="B142" s="31">
        <v>1.00959</v>
      </c>
      <c r="E142" s="2">
        <f t="shared" si="4"/>
        <v>1.0100951389521837</v>
      </c>
      <c r="F142">
        <f t="shared" si="5"/>
        <v>-5.0513895218373683E-4</v>
      </c>
      <c r="H142" s="1"/>
    </row>
    <row r="143" spans="1:8" x14ac:dyDescent="0.25">
      <c r="A143" s="31">
        <v>3.6700159999999999</v>
      </c>
      <c r="B143" s="31">
        <v>1.00892</v>
      </c>
      <c r="E143" s="2">
        <f t="shared" si="4"/>
        <v>1.009302442337618</v>
      </c>
      <c r="F143">
        <f t="shared" si="5"/>
        <v>-3.8244233761797197E-4</v>
      </c>
      <c r="H143" s="1"/>
    </row>
    <row r="144" spans="1:8" x14ac:dyDescent="0.25">
      <c r="A144" s="31">
        <v>3.9321600000000001</v>
      </c>
      <c r="B144" s="31">
        <v>1.0085599999999999</v>
      </c>
      <c r="E144" s="2">
        <f t="shared" si="4"/>
        <v>1.0086152847906902</v>
      </c>
      <c r="F144">
        <f t="shared" si="5"/>
        <v>-5.5284790690279806E-5</v>
      </c>
      <c r="H144" s="1"/>
    </row>
    <row r="145" spans="1:8" x14ac:dyDescent="0.25">
      <c r="A145" s="31">
        <v>4.1943039999999998</v>
      </c>
      <c r="B145" s="31">
        <v>1.00823</v>
      </c>
      <c r="E145" s="2">
        <f t="shared" si="4"/>
        <v>1.0080144496196906</v>
      </c>
      <c r="F145">
        <f t="shared" si="5"/>
        <v>2.1555038030940388E-4</v>
      </c>
      <c r="H145" s="1"/>
    </row>
    <row r="146" spans="1:8" x14ac:dyDescent="0.25">
      <c r="A146" s="31">
        <v>4.7185920000000001</v>
      </c>
      <c r="B146" s="31">
        <v>1.0072099999999999</v>
      </c>
      <c r="E146" s="2">
        <f t="shared" si="4"/>
        <v>1.0070155126062375</v>
      </c>
      <c r="F146">
        <f t="shared" si="5"/>
        <v>1.9448739376248803E-4</v>
      </c>
      <c r="H146" s="1"/>
    </row>
    <row r="147" spans="1:8" x14ac:dyDescent="0.25">
      <c r="A147" s="31">
        <v>5.2428800000000004</v>
      </c>
      <c r="B147" s="31">
        <v>1.0063899999999999</v>
      </c>
      <c r="E147" s="2">
        <f t="shared" si="4"/>
        <v>1.0062204646489148</v>
      </c>
      <c r="F147">
        <f t="shared" si="5"/>
        <v>1.6953535108510387E-4</v>
      </c>
      <c r="H147" s="1"/>
    </row>
    <row r="148" spans="1:8" x14ac:dyDescent="0.25">
      <c r="A148" s="31">
        <v>5.7671679999999999</v>
      </c>
      <c r="B148" s="31">
        <v>1.0059800000000001</v>
      </c>
      <c r="E148" s="2">
        <f t="shared" si="4"/>
        <v>1.0055743320737771</v>
      </c>
      <c r="F148">
        <f t="shared" si="5"/>
        <v>4.0566792622298564E-4</v>
      </c>
      <c r="H148" s="1"/>
    </row>
    <row r="149" spans="1:8" x14ac:dyDescent="0.25">
      <c r="A149" s="31">
        <v>6.2914560000000002</v>
      </c>
      <c r="B149" s="31">
        <v>1.00509</v>
      </c>
      <c r="E149" s="2">
        <f t="shared" si="4"/>
        <v>1.0050400860231108</v>
      </c>
      <c r="F149">
        <f t="shared" si="5"/>
        <v>4.9913976889248701E-5</v>
      </c>
      <c r="H149" s="1"/>
    </row>
    <row r="150" spans="1:8" x14ac:dyDescent="0.25">
      <c r="A150" s="31">
        <v>6.8157439999999996</v>
      </c>
      <c r="B150" s="31">
        <v>1.0047299999999999</v>
      </c>
      <c r="E150" s="2">
        <f t="shared" si="4"/>
        <v>1.0045919011734157</v>
      </c>
      <c r="F150">
        <f t="shared" si="5"/>
        <v>1.380988265842209E-4</v>
      </c>
      <c r="H150" s="1"/>
    </row>
    <row r="151" spans="1:8" x14ac:dyDescent="0.25">
      <c r="A151" s="31">
        <v>7.3400319999999999</v>
      </c>
      <c r="B151" s="31">
        <v>1.00431</v>
      </c>
      <c r="E151" s="2">
        <f t="shared" si="4"/>
        <v>1.0042112358662378</v>
      </c>
      <c r="F151">
        <f t="shared" si="5"/>
        <v>9.8764133762196948E-5</v>
      </c>
      <c r="H151" s="1"/>
    </row>
    <row r="152" spans="1:8" x14ac:dyDescent="0.25">
      <c r="A152" s="31">
        <v>7.8643200000000002</v>
      </c>
      <c r="B152" s="31">
        <v>1.0038800000000001</v>
      </c>
      <c r="E152" s="2">
        <f t="shared" si="4"/>
        <v>1.0038844469426909</v>
      </c>
      <c r="F152">
        <f t="shared" si="5"/>
        <v>-4.4469426907500775E-6</v>
      </c>
      <c r="H152" s="1"/>
    </row>
    <row r="153" spans="1:8" x14ac:dyDescent="0.25">
      <c r="A153" s="31">
        <v>8.3886079999999996</v>
      </c>
      <c r="B153" s="31">
        <v>1.0036799999999999</v>
      </c>
      <c r="E153" s="2">
        <f t="shared" si="4"/>
        <v>1.0036012819218589</v>
      </c>
      <c r="F153">
        <f t="shared" si="5"/>
        <v>7.8718078140971315E-5</v>
      </c>
      <c r="H153" s="1"/>
    </row>
    <row r="154" spans="1:8" x14ac:dyDescent="0.25">
      <c r="A154" s="31">
        <v>9.4371840000000002</v>
      </c>
      <c r="B154" s="31">
        <v>1.00308</v>
      </c>
      <c r="E154" s="2">
        <f t="shared" si="4"/>
        <v>1.0031361817010707</v>
      </c>
      <c r="F154">
        <f t="shared" si="5"/>
        <v>-5.6181701070689982E-5</v>
      </c>
      <c r="H154" s="1"/>
    </row>
    <row r="155" spans="1:8" x14ac:dyDescent="0.25">
      <c r="A155" s="31">
        <v>10.485760000000001</v>
      </c>
      <c r="B155" s="31">
        <v>1.0025299999999999</v>
      </c>
      <c r="E155" s="2">
        <f t="shared" si="4"/>
        <v>1.0027714978262978</v>
      </c>
      <c r="F155">
        <f t="shared" si="5"/>
        <v>-2.414978262978984E-4</v>
      </c>
      <c r="H155" s="1"/>
    </row>
    <row r="156" spans="1:8" x14ac:dyDescent="0.25">
      <c r="A156" s="31">
        <v>11.534336</v>
      </c>
      <c r="B156" s="31">
        <v>1.0020899999999999</v>
      </c>
      <c r="E156" s="2">
        <f t="shared" si="4"/>
        <v>1.0024790308858869</v>
      </c>
      <c r="F156">
        <f t="shared" si="5"/>
        <v>-3.890308858869318E-4</v>
      </c>
      <c r="H156" s="1"/>
    </row>
    <row r="157" spans="1:8" x14ac:dyDescent="0.25">
      <c r="A157" s="31">
        <v>12.582912</v>
      </c>
      <c r="B157" s="31">
        <v>1.00179</v>
      </c>
      <c r="E157" s="2">
        <f t="shared" si="4"/>
        <v>1.0022400734918127</v>
      </c>
      <c r="F157">
        <f t="shared" si="5"/>
        <v>-4.5007349181269696E-4</v>
      </c>
      <c r="H157" s="1"/>
    </row>
    <row r="158" spans="1:8" x14ac:dyDescent="0.25">
      <c r="A158" s="31">
        <v>13.631487999999999</v>
      </c>
      <c r="B158" s="31">
        <v>1.0018199999999999</v>
      </c>
      <c r="E158" s="2">
        <f t="shared" si="4"/>
        <v>1.0020417572902531</v>
      </c>
      <c r="F158">
        <f t="shared" si="5"/>
        <v>-2.2175729025319946E-4</v>
      </c>
      <c r="H158" s="1"/>
    </row>
    <row r="159" spans="1:8" x14ac:dyDescent="0.25">
      <c r="A159" s="31">
        <v>14.680064</v>
      </c>
      <c r="B159" s="31">
        <v>1.0020100000000001</v>
      </c>
      <c r="E159" s="2">
        <f t="shared" si="4"/>
        <v>1.0018749593164389</v>
      </c>
      <c r="F159">
        <f t="shared" si="5"/>
        <v>1.3504068356118282E-4</v>
      </c>
      <c r="H159" s="1"/>
    </row>
    <row r="160" spans="1:8" x14ac:dyDescent="0.25">
      <c r="A160" s="31">
        <v>15.72864</v>
      </c>
      <c r="B160" s="31">
        <v>1.00206</v>
      </c>
      <c r="E160" s="2">
        <f t="shared" si="4"/>
        <v>1.0017330445965891</v>
      </c>
      <c r="F160">
        <f t="shared" si="5"/>
        <v>3.2695540341087792E-4</v>
      </c>
      <c r="H160" s="1"/>
    </row>
    <row r="161" spans="1:8" x14ac:dyDescent="0.25">
      <c r="A161" s="31">
        <v>16.777215999999999</v>
      </c>
      <c r="B161" s="31">
        <v>1.00162</v>
      </c>
      <c r="E161" s="2">
        <f t="shared" si="4"/>
        <v>1.0016110807376029</v>
      </c>
      <c r="F161">
        <f t="shared" si="5"/>
        <v>8.9192623971001694E-6</v>
      </c>
      <c r="H161" s="1"/>
    </row>
    <row r="162" spans="1:8" x14ac:dyDescent="0.25">
      <c r="A162" s="31">
        <v>18.874368</v>
      </c>
      <c r="B162" s="31">
        <v>1.0016799999999999</v>
      </c>
      <c r="E162" s="2">
        <f t="shared" si="4"/>
        <v>1.0014129152369518</v>
      </c>
      <c r="F162">
        <f t="shared" si="5"/>
        <v>2.6708476304815321E-4</v>
      </c>
      <c r="H162" s="1"/>
    </row>
    <row r="163" spans="1:8" x14ac:dyDescent="0.25">
      <c r="A163" s="31">
        <v>20.971520000000002</v>
      </c>
      <c r="B163" s="31">
        <v>1.00136</v>
      </c>
      <c r="E163" s="2">
        <f t="shared" si="4"/>
        <v>1.001259552503214</v>
      </c>
      <c r="F163">
        <f t="shared" si="5"/>
        <v>1.0044749678606024E-4</v>
      </c>
      <c r="H163" s="1"/>
    </row>
    <row r="164" spans="1:8" x14ac:dyDescent="0.25">
      <c r="A164" s="31">
        <v>23.068671999999999</v>
      </c>
      <c r="B164" s="31">
        <v>1.00145</v>
      </c>
      <c r="E164" s="2">
        <f t="shared" si="4"/>
        <v>1.0011379464651236</v>
      </c>
      <c r="F164">
        <f t="shared" si="5"/>
        <v>3.1205353487639975E-4</v>
      </c>
      <c r="H164" s="1"/>
    </row>
    <row r="165" spans="1:8" x14ac:dyDescent="0.25">
      <c r="A165" s="31">
        <v>25.165824000000001</v>
      </c>
      <c r="B165" s="31">
        <v>1.0012300000000001</v>
      </c>
      <c r="E165" s="2">
        <f t="shared" si="4"/>
        <v>1.0010395715914917</v>
      </c>
      <c r="F165">
        <f t="shared" si="5"/>
        <v>1.9042840850835852E-4</v>
      </c>
      <c r="H165" s="1"/>
    </row>
    <row r="166" spans="1:8" x14ac:dyDescent="0.25">
      <c r="A166" s="31">
        <v>27.262975999999998</v>
      </c>
      <c r="B166" s="31">
        <v>1.00115</v>
      </c>
      <c r="E166" s="2">
        <f t="shared" si="4"/>
        <v>1.0009586416338041</v>
      </c>
      <c r="F166">
        <f t="shared" si="5"/>
        <v>1.9135836619588176E-4</v>
      </c>
      <c r="H166" s="1"/>
    </row>
    <row r="167" spans="1:8" x14ac:dyDescent="0.25">
      <c r="A167" s="31">
        <v>29.360128</v>
      </c>
      <c r="B167" s="31">
        <v>1.00136</v>
      </c>
      <c r="E167" s="2">
        <f t="shared" si="4"/>
        <v>1.0008911037150436</v>
      </c>
      <c r="F167">
        <f t="shared" si="5"/>
        <v>4.6889628495638824E-4</v>
      </c>
      <c r="H167" s="1"/>
    </row>
    <row r="168" spans="1:8" x14ac:dyDescent="0.25">
      <c r="A168" s="31">
        <v>31.457280000000001</v>
      </c>
      <c r="B168" s="31">
        <v>1.00088</v>
      </c>
      <c r="E168" s="2">
        <f t="shared" si="4"/>
        <v>1.0008340422801933</v>
      </c>
      <c r="F168">
        <f t="shared" si="5"/>
        <v>4.5957719806644093E-5</v>
      </c>
      <c r="H168" s="1"/>
    </row>
    <row r="169" spans="1:8" x14ac:dyDescent="0.25">
      <c r="A169" s="31">
        <v>33.554431999999998</v>
      </c>
      <c r="B169" s="31">
        <v>1.00074</v>
      </c>
      <c r="E169" s="2">
        <f t="shared" si="4"/>
        <v>1.0007853113467617</v>
      </c>
      <c r="F169">
        <f t="shared" si="5"/>
        <v>-4.5311346761778282E-5</v>
      </c>
      <c r="H169" s="1"/>
    </row>
    <row r="170" spans="1:8" x14ac:dyDescent="0.25">
      <c r="A170" s="31">
        <v>37.748736000000001</v>
      </c>
      <c r="B170" s="31">
        <v>1.0008699999999999</v>
      </c>
      <c r="E170" s="2">
        <f t="shared" si="4"/>
        <v>1.0007067761763033</v>
      </c>
      <c r="F170">
        <f t="shared" si="5"/>
        <v>1.6322382369660104E-4</v>
      </c>
      <c r="H170" s="1"/>
    </row>
    <row r="171" spans="1:8" x14ac:dyDescent="0.25">
      <c r="A171" s="31">
        <v>41.943040000000003</v>
      </c>
      <c r="B171" s="31">
        <v>1.0004200000000001</v>
      </c>
      <c r="E171" s="2">
        <f t="shared" si="4"/>
        <v>1.0006465771180306</v>
      </c>
      <c r="F171">
        <f t="shared" si="5"/>
        <v>-2.2657711803053537E-4</v>
      </c>
      <c r="H171" s="1"/>
    </row>
    <row r="172" spans="1:8" x14ac:dyDescent="0.25">
      <c r="A172" s="31">
        <v>46.137343999999999</v>
      </c>
      <c r="B172" s="31">
        <v>1.00081</v>
      </c>
      <c r="E172" s="2">
        <f t="shared" si="4"/>
        <v>1.0005992285147067</v>
      </c>
      <c r="F172">
        <f t="shared" si="5"/>
        <v>2.1077148529324852E-4</v>
      </c>
      <c r="H172" s="1"/>
    </row>
    <row r="173" spans="1:8" x14ac:dyDescent="0.25">
      <c r="A173" s="31">
        <v>50.331648000000001</v>
      </c>
      <c r="B173" s="31">
        <v>1.0008900000000001</v>
      </c>
      <c r="E173" s="2">
        <f t="shared" si="4"/>
        <v>1.0005611898020303</v>
      </c>
      <c r="F173">
        <f t="shared" si="5"/>
        <v>3.288101979697089E-4</v>
      </c>
      <c r="H173" s="1"/>
    </row>
    <row r="174" spans="1:8" x14ac:dyDescent="0.25">
      <c r="A174" s="31">
        <v>54.525951999999997</v>
      </c>
      <c r="B174" s="31">
        <v>1.0007900000000001</v>
      </c>
      <c r="E174" s="2">
        <f t="shared" si="4"/>
        <v>1.0005300837282751</v>
      </c>
      <c r="F174">
        <f t="shared" si="5"/>
        <v>2.5991627172494702E-4</v>
      </c>
      <c r="H174" s="1"/>
    </row>
    <row r="175" spans="1:8" x14ac:dyDescent="0.25">
      <c r="A175" s="31">
        <v>58.720255999999999</v>
      </c>
      <c r="B175" s="31">
        <v>1.0004500000000001</v>
      </c>
      <c r="E175" s="2">
        <f t="shared" si="4"/>
        <v>1.0005042607802257</v>
      </c>
      <c r="F175">
        <f t="shared" si="5"/>
        <v>-5.426078022563452E-5</v>
      </c>
      <c r="H175" s="1"/>
    </row>
    <row r="176" spans="1:8" x14ac:dyDescent="0.25">
      <c r="A176" s="31">
        <v>62.914560000000002</v>
      </c>
      <c r="B176" s="31">
        <v>1.0008300000000001</v>
      </c>
      <c r="E176" s="2">
        <f t="shared" si="4"/>
        <v>1.0004825441365746</v>
      </c>
      <c r="F176">
        <f t="shared" si="5"/>
        <v>3.4745586342554979E-4</v>
      </c>
      <c r="H176" s="1"/>
    </row>
    <row r="177" spans="1:8" x14ac:dyDescent="0.25">
      <c r="A177" s="31">
        <v>67.108863999999997</v>
      </c>
      <c r="B177" s="31">
        <v>1.00051</v>
      </c>
      <c r="E177" s="2">
        <f t="shared" si="4"/>
        <v>1.0004640739645749</v>
      </c>
      <c r="F177">
        <f t="shared" si="5"/>
        <v>4.5926035425081224E-5</v>
      </c>
      <c r="H177" s="1"/>
    </row>
    <row r="178" spans="1:8" x14ac:dyDescent="0.25">
      <c r="A178" s="31">
        <v>75.497472000000002</v>
      </c>
      <c r="B178" s="31">
        <v>1.00058</v>
      </c>
      <c r="E178" s="2">
        <f t="shared" si="4"/>
        <v>1.0004344619119894</v>
      </c>
      <c r="F178">
        <f t="shared" si="5"/>
        <v>1.4553808801065493E-4</v>
      </c>
      <c r="H178" s="1"/>
    </row>
    <row r="179" spans="1:8" x14ac:dyDescent="0.25">
      <c r="A179" s="31">
        <v>83.886080000000007</v>
      </c>
      <c r="B179" s="31">
        <v>1.0006699999999999</v>
      </c>
      <c r="E179" s="2">
        <f t="shared" si="4"/>
        <v>1.000411900004369</v>
      </c>
      <c r="F179">
        <f t="shared" si="5"/>
        <v>2.5809999563097819E-4</v>
      </c>
      <c r="H179" s="1"/>
    </row>
    <row r="180" spans="1:8" x14ac:dyDescent="0.25">
      <c r="A180" s="31">
        <v>92.274687999999998</v>
      </c>
      <c r="B180" s="31">
        <v>1.0002</v>
      </c>
      <c r="E180" s="2">
        <f t="shared" si="4"/>
        <v>1.0003942426820662</v>
      </c>
      <c r="F180">
        <f t="shared" si="5"/>
        <v>-1.9424268206624795E-4</v>
      </c>
      <c r="H180" s="1"/>
    </row>
    <row r="181" spans="1:8" x14ac:dyDescent="0.25">
      <c r="A181" s="31">
        <v>100.663296</v>
      </c>
      <c r="B181" s="31">
        <v>1.0003299999999999</v>
      </c>
      <c r="E181" s="2">
        <f t="shared" si="4"/>
        <v>1.0003801167276445</v>
      </c>
      <c r="F181">
        <f t="shared" si="5"/>
        <v>-5.0116727644544667E-5</v>
      </c>
      <c r="H181" s="1"/>
    </row>
    <row r="182" spans="1:8" x14ac:dyDescent="0.25">
      <c r="A182" s="31">
        <v>109.05190399999999</v>
      </c>
      <c r="B182" s="31">
        <v>1.0006699999999999</v>
      </c>
      <c r="E182" s="2">
        <f t="shared" si="4"/>
        <v>1.0003686066356345</v>
      </c>
      <c r="F182">
        <f t="shared" si="5"/>
        <v>3.0139336436540987E-4</v>
      </c>
      <c r="H182" s="1"/>
    </row>
    <row r="183" spans="1:8" x14ac:dyDescent="0.25">
      <c r="A183" s="31">
        <v>117.440512</v>
      </c>
      <c r="B183" s="31">
        <v>1.00024</v>
      </c>
      <c r="E183" s="2">
        <f t="shared" si="4"/>
        <v>1.0003590810096505</v>
      </c>
      <c r="F183">
        <f t="shared" si="5"/>
        <v>-1.1908100965052348E-4</v>
      </c>
      <c r="H183" s="1"/>
    </row>
    <row r="184" spans="1:8" x14ac:dyDescent="0.25">
      <c r="A184" s="31">
        <v>125.82912</v>
      </c>
      <c r="B184" s="31">
        <v>1.0001</v>
      </c>
      <c r="E184" s="2">
        <f t="shared" si="4"/>
        <v>1.0003510917550575</v>
      </c>
      <c r="F184">
        <f t="shared" si="5"/>
        <v>-2.510917550575531E-4</v>
      </c>
      <c r="H184" s="1"/>
    </row>
    <row r="185" spans="1:8" x14ac:dyDescent="0.25">
      <c r="A185" s="31">
        <v>134.21772799999999</v>
      </c>
      <c r="B185" s="31">
        <v>1.0002800000000001</v>
      </c>
      <c r="E185" s="2">
        <f t="shared" si="4"/>
        <v>1.0003443129811258</v>
      </c>
      <c r="F185">
        <f t="shared" si="5"/>
        <v>-6.4312981125747015E-5</v>
      </c>
      <c r="H185" s="1"/>
    </row>
    <row r="186" spans="1:8" x14ac:dyDescent="0.25">
      <c r="A186" s="31">
        <v>150.994944</v>
      </c>
      <c r="B186" s="31">
        <v>0.99995199999999995</v>
      </c>
      <c r="E186" s="2">
        <f t="shared" si="4"/>
        <v>1.0003334773919419</v>
      </c>
      <c r="F186">
        <f t="shared" si="5"/>
        <v>-3.814773919419423E-4</v>
      </c>
      <c r="H186" s="1"/>
    </row>
    <row r="187" spans="1:8" x14ac:dyDescent="0.25">
      <c r="A187" s="31">
        <v>167.77216000000001</v>
      </c>
      <c r="B187" s="31">
        <v>1.00047</v>
      </c>
      <c r="E187" s="2">
        <f t="shared" si="4"/>
        <v>1.0003252497516517</v>
      </c>
      <c r="F187">
        <f t="shared" si="5"/>
        <v>1.4475024834825767E-4</v>
      </c>
      <c r="H187" s="1"/>
    </row>
    <row r="188" spans="1:8" x14ac:dyDescent="0.25">
      <c r="A188" s="31">
        <v>184.549376</v>
      </c>
      <c r="B188" s="31">
        <v>1.0000599999999999</v>
      </c>
      <c r="E188" s="2">
        <f t="shared" si="4"/>
        <v>1.0003188286576781</v>
      </c>
      <c r="F188">
        <f t="shared" si="5"/>
        <v>-2.5882865767812291E-4</v>
      </c>
      <c r="H188" s="1"/>
    </row>
    <row r="189" spans="1:8" x14ac:dyDescent="0.25">
      <c r="A189" s="31">
        <v>201.32659200000001</v>
      </c>
      <c r="B189" s="31">
        <v>0.99991699999999994</v>
      </c>
      <c r="E189" s="2">
        <f t="shared" si="4"/>
        <v>1.000313703719629</v>
      </c>
      <c r="F189">
        <f t="shared" si="5"/>
        <v>-3.967037196290768E-4</v>
      </c>
      <c r="H189" s="1"/>
    </row>
    <row r="190" spans="1:8" x14ac:dyDescent="0.25">
      <c r="A190" s="31">
        <v>218.10380799999999</v>
      </c>
      <c r="B190" s="31">
        <v>1.0002800000000001</v>
      </c>
      <c r="E190" s="2">
        <f t="shared" si="4"/>
        <v>1.0003095360658809</v>
      </c>
      <c r="F190">
        <f t="shared" si="5"/>
        <v>-2.9536065880853002E-5</v>
      </c>
      <c r="H190" s="1"/>
    </row>
    <row r="191" spans="1:8" x14ac:dyDescent="0.25">
      <c r="A191" s="31">
        <v>234.881024</v>
      </c>
      <c r="B191" s="31">
        <v>1.0005999999999999</v>
      </c>
      <c r="E191" s="2">
        <f t="shared" si="4"/>
        <v>1.0003060928004004</v>
      </c>
      <c r="F191">
        <f t="shared" si="5"/>
        <v>2.9390719959954126E-4</v>
      </c>
      <c r="H191" s="1"/>
    </row>
    <row r="192" spans="1:8" x14ac:dyDescent="0.25">
      <c r="A192" s="31">
        <v>251.65824000000001</v>
      </c>
      <c r="B192" s="31">
        <v>1.0001500000000001</v>
      </c>
      <c r="E192" s="2">
        <f t="shared" si="4"/>
        <v>1.000303209133143</v>
      </c>
      <c r="F192">
        <f t="shared" si="5"/>
        <v>-1.532091331428731E-4</v>
      </c>
      <c r="H192" s="1"/>
    </row>
    <row r="193" spans="1:8" x14ac:dyDescent="0.25">
      <c r="A193" s="31">
        <v>268.43545599999999</v>
      </c>
      <c r="B193" s="31">
        <v>0.99999199999999999</v>
      </c>
      <c r="E193" s="2">
        <f t="shared" si="4"/>
        <v>1.000300765525904</v>
      </c>
      <c r="F193">
        <f t="shared" si="5"/>
        <v>-3.0876552590397566E-4</v>
      </c>
      <c r="H193" s="1"/>
    </row>
    <row r="194" spans="1:8" x14ac:dyDescent="0.25">
      <c r="A194" s="31">
        <v>301.98988800000001</v>
      </c>
      <c r="B194" s="31">
        <v>1.00007</v>
      </c>
      <c r="E194" s="2">
        <f t="shared" ref="E194:E238" si="6">$D$2+1/$D$3*($D$8/(1+A194/$D$4)/SQRT(1+A194/$D$4/$D$5/$D$5)+(1-$D$8)/(1+A194/$D$6)/SQRT(1+A194/$D$6/$D$7/$D$7))*(1+$D$9*EXP(-A194/$D$10)+$D$11*EXP(-A194/$D$12))</f>
        <v>1.0002968657801972</v>
      </c>
      <c r="F194">
        <f t="shared" ref="F194:F238" si="7">B194-E194</f>
        <v>-2.2686578019714965E-4</v>
      </c>
      <c r="H194" s="1"/>
    </row>
    <row r="195" spans="1:8" x14ac:dyDescent="0.25">
      <c r="A195" s="31">
        <v>335.54432000000003</v>
      </c>
      <c r="B195" s="31">
        <v>0.99980999999999998</v>
      </c>
      <c r="E195" s="2">
        <f t="shared" si="6"/>
        <v>1.0002939100414932</v>
      </c>
      <c r="F195">
        <f t="shared" si="7"/>
        <v>-4.8391004149317407E-4</v>
      </c>
      <c r="H195" s="1"/>
    </row>
    <row r="196" spans="1:8" x14ac:dyDescent="0.25">
      <c r="A196" s="31">
        <v>369.09875199999999</v>
      </c>
      <c r="B196" s="31">
        <v>0.99982599999999999</v>
      </c>
      <c r="E196" s="2">
        <f t="shared" si="6"/>
        <v>1.0002916067191101</v>
      </c>
      <c r="F196">
        <f t="shared" si="7"/>
        <v>-4.6560671911011209E-4</v>
      </c>
      <c r="H196" s="1"/>
    </row>
    <row r="197" spans="1:8" x14ac:dyDescent="0.25">
      <c r="A197" s="31">
        <v>402.65318400000001</v>
      </c>
      <c r="B197" s="31">
        <v>0.99988500000000002</v>
      </c>
      <c r="E197" s="2">
        <f t="shared" si="6"/>
        <v>1.0002897706065925</v>
      </c>
      <c r="F197">
        <f t="shared" si="7"/>
        <v>-4.047706065924972E-4</v>
      </c>
      <c r="H197" s="1"/>
    </row>
    <row r="198" spans="1:8" x14ac:dyDescent="0.25">
      <c r="A198" s="31">
        <v>436.20761599999997</v>
      </c>
      <c r="B198" s="31">
        <v>0.99973400000000001</v>
      </c>
      <c r="E198" s="2">
        <f t="shared" si="6"/>
        <v>1.0002882790102787</v>
      </c>
      <c r="F198">
        <f t="shared" si="7"/>
        <v>-5.5427901027871318E-4</v>
      </c>
      <c r="H198" s="1"/>
    </row>
    <row r="199" spans="1:8" x14ac:dyDescent="0.25">
      <c r="A199" s="31">
        <v>469.76204799999999</v>
      </c>
      <c r="B199" s="31">
        <v>0.99969200000000003</v>
      </c>
      <c r="E199" s="2">
        <f t="shared" si="6"/>
        <v>1.0002870477642973</v>
      </c>
      <c r="F199">
        <f t="shared" si="7"/>
        <v>-5.9504776429730732E-4</v>
      </c>
      <c r="H199" s="1"/>
    </row>
    <row r="200" spans="1:8" x14ac:dyDescent="0.25">
      <c r="A200" s="31">
        <v>503.31648000000001</v>
      </c>
      <c r="B200" s="31">
        <v>0.99972399999999995</v>
      </c>
      <c r="E200" s="2">
        <f t="shared" si="6"/>
        <v>1.0002860174104975</v>
      </c>
      <c r="F200">
        <f t="shared" si="7"/>
        <v>-5.6201741049755061E-4</v>
      </c>
      <c r="H200" s="1"/>
    </row>
    <row r="201" spans="1:8" x14ac:dyDescent="0.25">
      <c r="A201" s="31">
        <v>536.87091199999998</v>
      </c>
      <c r="B201" s="31">
        <v>0.99980999999999998</v>
      </c>
      <c r="E201" s="2">
        <f t="shared" si="6"/>
        <v>1.0002851448775321</v>
      </c>
      <c r="F201">
        <f t="shared" si="7"/>
        <v>-4.7514487753208545E-4</v>
      </c>
      <c r="H201" s="1"/>
    </row>
    <row r="202" spans="1:8" x14ac:dyDescent="0.25">
      <c r="A202" s="31">
        <v>603.97977600000002</v>
      </c>
      <c r="B202" s="31">
        <v>0.99975800000000004</v>
      </c>
      <c r="E202" s="2">
        <f t="shared" si="6"/>
        <v>1.0002837535629372</v>
      </c>
      <c r="F202">
        <f t="shared" si="7"/>
        <v>-5.2575356293715902E-4</v>
      </c>
      <c r="H202" s="1"/>
    </row>
    <row r="203" spans="1:8" x14ac:dyDescent="0.25">
      <c r="A203" s="31">
        <v>671.08864000000005</v>
      </c>
      <c r="B203" s="31">
        <v>0.99960899999999997</v>
      </c>
      <c r="E203" s="2">
        <f t="shared" si="6"/>
        <v>1.0002827000378127</v>
      </c>
      <c r="F203">
        <f t="shared" si="7"/>
        <v>-6.7370003781275223E-4</v>
      </c>
      <c r="H203" s="1"/>
    </row>
    <row r="204" spans="1:8" x14ac:dyDescent="0.25">
      <c r="A204" s="31">
        <v>738.19750399999998</v>
      </c>
      <c r="B204" s="31">
        <v>0.99950099999999997</v>
      </c>
      <c r="E204" s="2">
        <f t="shared" si="6"/>
        <v>1.0002818796842716</v>
      </c>
      <c r="F204">
        <f t="shared" si="7"/>
        <v>-7.8087968427165144E-4</v>
      </c>
      <c r="H204" s="1"/>
    </row>
    <row r="205" spans="1:8" x14ac:dyDescent="0.25">
      <c r="A205" s="31">
        <v>805.30636800000002</v>
      </c>
      <c r="B205" s="31">
        <v>0.99968299999999999</v>
      </c>
      <c r="E205" s="2">
        <f t="shared" si="6"/>
        <v>1.0002812261466962</v>
      </c>
      <c r="F205">
        <f t="shared" si="7"/>
        <v>-5.9822614669624574E-4</v>
      </c>
      <c r="H205" s="1"/>
    </row>
    <row r="206" spans="1:8" x14ac:dyDescent="0.25">
      <c r="A206" s="31">
        <v>872.41523199999995</v>
      </c>
      <c r="B206" s="31">
        <v>0.99962399999999996</v>
      </c>
      <c r="E206" s="2">
        <f t="shared" si="6"/>
        <v>1.000280695517372</v>
      </c>
      <c r="F206">
        <f t="shared" si="7"/>
        <v>-6.5669551737201903E-4</v>
      </c>
      <c r="H206" s="1"/>
    </row>
    <row r="207" spans="1:8" x14ac:dyDescent="0.25">
      <c r="A207" s="31">
        <v>939.52409599999999</v>
      </c>
      <c r="B207" s="31">
        <v>0.99947399999999997</v>
      </c>
      <c r="E207" s="2">
        <f t="shared" si="6"/>
        <v>1.000280257705533</v>
      </c>
      <c r="F207">
        <f t="shared" si="7"/>
        <v>-8.062577055329978E-4</v>
      </c>
      <c r="H207" s="1"/>
    </row>
    <row r="208" spans="1:8" x14ac:dyDescent="0.25">
      <c r="A208" s="31">
        <v>1006.63296</v>
      </c>
      <c r="B208" s="31">
        <v>0.99919400000000003</v>
      </c>
      <c r="E208" s="2">
        <f t="shared" si="6"/>
        <v>1.000279891471396</v>
      </c>
      <c r="F208">
        <f t="shared" si="7"/>
        <v>-1.0858914713959278E-3</v>
      </c>
      <c r="H208" s="1"/>
    </row>
    <row r="209" spans="1:8" x14ac:dyDescent="0.25">
      <c r="A209" s="31">
        <v>1073.741824</v>
      </c>
      <c r="B209" s="31">
        <v>0.99939599999999995</v>
      </c>
      <c r="E209" s="2">
        <f t="shared" si="6"/>
        <v>1.0002795814398453</v>
      </c>
      <c r="F209">
        <f t="shared" si="7"/>
        <v>-8.8358143984534898E-4</v>
      </c>
      <c r="H209" s="1"/>
    </row>
    <row r="210" spans="1:8" x14ac:dyDescent="0.25">
      <c r="A210" s="31">
        <v>1207.959552</v>
      </c>
      <c r="B210" s="31">
        <v>0.99930200000000002</v>
      </c>
      <c r="E210" s="2">
        <f t="shared" si="6"/>
        <v>1.000279087282486</v>
      </c>
      <c r="F210">
        <f t="shared" si="7"/>
        <v>-9.7708728248602217E-4</v>
      </c>
      <c r="H210" s="1"/>
    </row>
    <row r="211" spans="1:8" x14ac:dyDescent="0.25">
      <c r="A211" s="31">
        <v>1342.1772800000001</v>
      </c>
      <c r="B211" s="31">
        <v>0.99936100000000005</v>
      </c>
      <c r="E211" s="2">
        <f t="shared" si="6"/>
        <v>1.0002787132785522</v>
      </c>
      <c r="F211">
        <f t="shared" si="7"/>
        <v>-9.17713278552168E-4</v>
      </c>
      <c r="H211" s="1"/>
    </row>
    <row r="212" spans="1:8" x14ac:dyDescent="0.25">
      <c r="A212" s="31">
        <v>1476.395008</v>
      </c>
      <c r="B212" s="31">
        <v>0.99924800000000003</v>
      </c>
      <c r="E212" s="2">
        <f t="shared" si="6"/>
        <v>1.0002784221642955</v>
      </c>
      <c r="F212">
        <f t="shared" si="7"/>
        <v>-1.0304221642954969E-3</v>
      </c>
      <c r="H212" s="1"/>
    </row>
    <row r="213" spans="1:8" x14ac:dyDescent="0.25">
      <c r="A213" s="31">
        <v>1610.612736</v>
      </c>
      <c r="B213" s="31">
        <v>0.99920500000000001</v>
      </c>
      <c r="E213" s="2">
        <f t="shared" si="6"/>
        <v>1.0002781903215534</v>
      </c>
      <c r="F213">
        <f t="shared" si="7"/>
        <v>-1.0731903215533967E-3</v>
      </c>
      <c r="H213" s="1"/>
    </row>
    <row r="214" spans="1:8" x14ac:dyDescent="0.25">
      <c r="A214" s="31">
        <v>1744.8304639999999</v>
      </c>
      <c r="B214" s="31">
        <v>0.99897100000000005</v>
      </c>
      <c r="E214" s="2">
        <f t="shared" si="6"/>
        <v>1.0002780021313433</v>
      </c>
      <c r="F214">
        <f t="shared" si="7"/>
        <v>-1.3070021313432711E-3</v>
      </c>
      <c r="H214" s="1"/>
    </row>
    <row r="215" spans="1:8" x14ac:dyDescent="0.25">
      <c r="A215" s="31">
        <v>1879.048192</v>
      </c>
      <c r="B215" s="31">
        <v>0.99894700000000003</v>
      </c>
      <c r="E215" s="2">
        <f t="shared" si="6"/>
        <v>1.0002778468949778</v>
      </c>
      <c r="F215">
        <f t="shared" si="7"/>
        <v>-1.3308468949777552E-3</v>
      </c>
      <c r="H215" s="1"/>
    </row>
    <row r="216" spans="1:8" x14ac:dyDescent="0.25">
      <c r="A216" s="31">
        <v>2013.2659200000001</v>
      </c>
      <c r="B216" s="31">
        <v>0.999027</v>
      </c>
      <c r="E216" s="2">
        <f t="shared" si="6"/>
        <v>1.0002777170638801</v>
      </c>
      <c r="F216">
        <f t="shared" si="7"/>
        <v>-1.2507170638801357E-3</v>
      </c>
      <c r="H216" s="1"/>
    </row>
    <row r="217" spans="1:8" x14ac:dyDescent="0.25">
      <c r="A217" s="31">
        <v>2147.4836479999999</v>
      </c>
      <c r="B217" s="31">
        <v>0.99890500000000004</v>
      </c>
      <c r="E217" s="2">
        <f t="shared" si="6"/>
        <v>1.000277607175738</v>
      </c>
      <c r="F217">
        <f t="shared" si="7"/>
        <v>-1.3726071757379499E-3</v>
      </c>
      <c r="H217" s="1"/>
    </row>
    <row r="218" spans="1:8" x14ac:dyDescent="0.25">
      <c r="A218" s="31">
        <v>2415.9191040000001</v>
      </c>
      <c r="B218" s="31">
        <v>0.99843300000000001</v>
      </c>
      <c r="E218" s="2">
        <f t="shared" si="6"/>
        <v>1.0002774320631889</v>
      </c>
      <c r="F218">
        <f t="shared" si="7"/>
        <v>-1.84443206318885E-3</v>
      </c>
      <c r="H218" s="1"/>
    </row>
    <row r="219" spans="1:8" x14ac:dyDescent="0.25">
      <c r="A219" s="31">
        <v>2684.3545600000002</v>
      </c>
      <c r="B219" s="31">
        <v>0.99864399999999998</v>
      </c>
      <c r="E219" s="2">
        <f t="shared" si="6"/>
        <v>1.0002772995610345</v>
      </c>
      <c r="F219">
        <f t="shared" si="7"/>
        <v>-1.6332995610345291E-3</v>
      </c>
      <c r="H219" s="1"/>
    </row>
    <row r="220" spans="1:8" x14ac:dyDescent="0.25">
      <c r="A220" s="31">
        <v>2952.7900159999999</v>
      </c>
      <c r="B220" s="31">
        <v>0.99835499999999999</v>
      </c>
      <c r="E220" s="2">
        <f t="shared" si="6"/>
        <v>1.0002771964452484</v>
      </c>
      <c r="F220">
        <f t="shared" si="7"/>
        <v>-1.9221964452483808E-3</v>
      </c>
      <c r="H220" s="1"/>
    </row>
    <row r="221" spans="1:8" x14ac:dyDescent="0.25">
      <c r="A221" s="31">
        <v>3221.2254720000001</v>
      </c>
      <c r="B221" s="31">
        <v>0.99812900000000004</v>
      </c>
      <c r="E221" s="2">
        <f t="shared" si="6"/>
        <v>1.0002771143373463</v>
      </c>
      <c r="F221">
        <f t="shared" si="7"/>
        <v>-2.1481143373462963E-3</v>
      </c>
      <c r="H221" s="1"/>
    </row>
    <row r="222" spans="1:8" x14ac:dyDescent="0.25">
      <c r="A222" s="31">
        <v>3489.6609279999998</v>
      </c>
      <c r="B222" s="31">
        <v>0.99814199999999997</v>
      </c>
      <c r="E222" s="2">
        <f t="shared" si="6"/>
        <v>1.0002770476981862</v>
      </c>
      <c r="F222">
        <f t="shared" si="7"/>
        <v>-2.1350476981861766E-3</v>
      </c>
      <c r="H222" s="1"/>
    </row>
    <row r="223" spans="1:8" x14ac:dyDescent="0.25">
      <c r="A223" s="31">
        <v>3758.0963839999999</v>
      </c>
      <c r="B223" s="31">
        <v>0.99791600000000003</v>
      </c>
      <c r="E223" s="2">
        <f t="shared" si="6"/>
        <v>1.000276992734513</v>
      </c>
      <c r="F223">
        <f t="shared" si="7"/>
        <v>-2.3609927345129567E-3</v>
      </c>
      <c r="H223" s="1"/>
    </row>
    <row r="224" spans="1:8" x14ac:dyDescent="0.25">
      <c r="A224" s="31">
        <v>4026.5318400000001</v>
      </c>
      <c r="B224" s="31">
        <v>0.99773400000000001</v>
      </c>
      <c r="E224" s="2">
        <f t="shared" si="6"/>
        <v>1.0002769467705206</v>
      </c>
      <c r="F224">
        <f t="shared" si="7"/>
        <v>-2.5429467705205822E-3</v>
      </c>
      <c r="H224" s="1"/>
    </row>
    <row r="225" spans="1:8" x14ac:dyDescent="0.25">
      <c r="A225" s="31">
        <v>4294.9672959999998</v>
      </c>
      <c r="B225" s="31">
        <v>0.99738400000000005</v>
      </c>
      <c r="E225" s="2">
        <f t="shared" si="6"/>
        <v>1.0002769078702909</v>
      </c>
      <c r="F225">
        <f t="shared" si="7"/>
        <v>-2.8929078702908395E-3</v>
      </c>
      <c r="H225" s="1"/>
    </row>
    <row r="226" spans="1:8" x14ac:dyDescent="0.25">
      <c r="A226" s="31">
        <v>4831.8382080000001</v>
      </c>
      <c r="B226" s="31">
        <v>0.99713499999999999</v>
      </c>
      <c r="E226" s="2">
        <f t="shared" si="6"/>
        <v>1.0002768458873874</v>
      </c>
      <c r="F226">
        <f t="shared" si="7"/>
        <v>-3.1418458873874178E-3</v>
      </c>
      <c r="H226" s="1"/>
    </row>
    <row r="227" spans="1:8" x14ac:dyDescent="0.25">
      <c r="A227" s="31">
        <v>5368.7091200000004</v>
      </c>
      <c r="B227" s="31">
        <v>0.99671900000000002</v>
      </c>
      <c r="E227" s="2">
        <f t="shared" si="6"/>
        <v>1.0002767989925816</v>
      </c>
      <c r="F227">
        <f t="shared" si="7"/>
        <v>-3.5577989925815734E-3</v>
      </c>
      <c r="H227" s="1"/>
    </row>
    <row r="228" spans="1:8" x14ac:dyDescent="0.25">
      <c r="A228" s="31">
        <v>5905.5800319999998</v>
      </c>
      <c r="B228" s="31">
        <v>0.99638300000000002</v>
      </c>
      <c r="E228" s="2">
        <f t="shared" si="6"/>
        <v>1.000276762501709</v>
      </c>
      <c r="F228">
        <f t="shared" si="7"/>
        <v>-3.8937625017090305E-3</v>
      </c>
      <c r="H228" s="1"/>
    </row>
    <row r="229" spans="1:8" x14ac:dyDescent="0.25">
      <c r="A229" s="31">
        <v>6442.4509440000002</v>
      </c>
      <c r="B229" s="31">
        <v>0.99612199999999995</v>
      </c>
      <c r="E229" s="2">
        <f t="shared" si="6"/>
        <v>1.0002767334475169</v>
      </c>
      <c r="F229">
        <f t="shared" si="7"/>
        <v>-4.154733447516934E-3</v>
      </c>
      <c r="H229" s="1"/>
    </row>
    <row r="230" spans="1:8" x14ac:dyDescent="0.25">
      <c r="A230" s="31">
        <v>6979.3218559999996</v>
      </c>
      <c r="B230" s="31">
        <v>0.99610200000000004</v>
      </c>
      <c r="E230" s="2">
        <f t="shared" si="6"/>
        <v>1.0002767098686034</v>
      </c>
      <c r="F230">
        <f t="shared" si="7"/>
        <v>-4.1747098686033546E-3</v>
      </c>
      <c r="H230" s="1"/>
    </row>
    <row r="231" spans="1:8" x14ac:dyDescent="0.25">
      <c r="A231" s="31">
        <v>7516.1927679999999</v>
      </c>
      <c r="B231" s="31">
        <v>0.99574300000000004</v>
      </c>
      <c r="E231" s="2">
        <f t="shared" si="6"/>
        <v>1.0002766904219513</v>
      </c>
      <c r="F231">
        <f t="shared" si="7"/>
        <v>-4.5336904219512864E-3</v>
      </c>
      <c r="H231" s="1"/>
    </row>
    <row r="232" spans="1:8" x14ac:dyDescent="0.25">
      <c r="A232" s="31">
        <v>8053.0636800000002</v>
      </c>
      <c r="B232" s="31">
        <v>0.99516000000000004</v>
      </c>
      <c r="E232" s="2">
        <f t="shared" si="6"/>
        <v>1.0002766741602813</v>
      </c>
      <c r="F232">
        <f t="shared" si="7"/>
        <v>-5.116674160281276E-3</v>
      </c>
      <c r="H232" s="1"/>
    </row>
    <row r="233" spans="1:8" x14ac:dyDescent="0.25">
      <c r="A233" s="31">
        <v>8589.9345919999996</v>
      </c>
      <c r="B233" s="31">
        <v>0.99487300000000001</v>
      </c>
      <c r="E233" s="2">
        <f t="shared" si="6"/>
        <v>1.0002766603983091</v>
      </c>
      <c r="F233">
        <f t="shared" si="7"/>
        <v>-5.4036603983090847E-3</v>
      </c>
      <c r="H233" s="1"/>
    </row>
    <row r="234" spans="1:8" x14ac:dyDescent="0.25">
      <c r="A234" s="31">
        <v>9663.6764160000002</v>
      </c>
      <c r="B234" s="31">
        <v>0.99493699999999996</v>
      </c>
      <c r="E234" s="2">
        <f t="shared" si="6"/>
        <v>1.0002766384714195</v>
      </c>
      <c r="F234">
        <f t="shared" si="7"/>
        <v>-5.3396384714194944E-3</v>
      </c>
      <c r="H234" s="1"/>
    </row>
    <row r="235" spans="1:8" x14ac:dyDescent="0.25">
      <c r="A235" s="31">
        <v>10737.418240000001</v>
      </c>
      <c r="B235" s="31">
        <v>0.99471299999999996</v>
      </c>
      <c r="E235" s="2">
        <f t="shared" si="6"/>
        <v>1.0002766218830623</v>
      </c>
      <c r="F235">
        <f t="shared" si="7"/>
        <v>-5.563621883062364E-3</v>
      </c>
      <c r="H235" s="1"/>
    </row>
    <row r="236" spans="1:8" x14ac:dyDescent="0.25">
      <c r="A236" s="31">
        <v>11811.160064</v>
      </c>
      <c r="B236" s="31">
        <v>0.99402199999999996</v>
      </c>
      <c r="E236" s="2">
        <f t="shared" si="6"/>
        <v>1.0002766089755817</v>
      </c>
      <c r="F236">
        <f t="shared" si="7"/>
        <v>-6.2546089755817214E-3</v>
      </c>
      <c r="H236" s="1"/>
    </row>
    <row r="237" spans="1:8" x14ac:dyDescent="0.25">
      <c r="A237" s="31">
        <v>12884.901888</v>
      </c>
      <c r="B237" s="31">
        <v>0.99350799999999995</v>
      </c>
      <c r="E237" s="2">
        <f t="shared" si="6"/>
        <v>1.000276598699007</v>
      </c>
      <c r="F237">
        <f t="shared" si="7"/>
        <v>-6.7685986990070335E-3</v>
      </c>
      <c r="H237" s="1"/>
    </row>
    <row r="238" spans="1:8" x14ac:dyDescent="0.25">
      <c r="A238" s="31">
        <v>13958.643711999999</v>
      </c>
      <c r="B238" s="31">
        <v>0.99259299999999995</v>
      </c>
      <c r="E238" s="2">
        <f t="shared" si="6"/>
        <v>1.0002765903593427</v>
      </c>
      <c r="F238">
        <f t="shared" si="7"/>
        <v>-7.6835903593427402E-3</v>
      </c>
      <c r="H238" s="1"/>
    </row>
    <row r="239" spans="1:8" x14ac:dyDescent="0.25">
      <c r="A239" s="31">
        <v>15032.385536</v>
      </c>
      <c r="B239" s="31">
        <v>0.99211000000000005</v>
      </c>
      <c r="H239" s="1"/>
    </row>
    <row r="240" spans="1:8" x14ac:dyDescent="0.25">
      <c r="A240" s="31">
        <v>16106.12736</v>
      </c>
      <c r="B240" s="31">
        <v>0.99214599999999997</v>
      </c>
      <c r="H240" s="1"/>
    </row>
    <row r="241" spans="1:8" x14ac:dyDescent="0.25">
      <c r="A241" s="31">
        <v>17179.869183999999</v>
      </c>
      <c r="B241" s="31">
        <v>0.99177999999999999</v>
      </c>
      <c r="H241" s="1"/>
    </row>
    <row r="242" spans="1:8" x14ac:dyDescent="0.25">
      <c r="A242" s="31">
        <v>19327.352832</v>
      </c>
      <c r="B242" s="31">
        <v>0.99150899999999997</v>
      </c>
      <c r="H242" s="1"/>
    </row>
    <row r="243" spans="1:8" x14ac:dyDescent="0.25">
      <c r="A243" s="31">
        <v>21474.836480000002</v>
      </c>
      <c r="B243" s="31">
        <v>0.99105200000000004</v>
      </c>
      <c r="H243" s="1"/>
    </row>
    <row r="244" spans="1:8" x14ac:dyDescent="0.25">
      <c r="A244" s="31">
        <v>23622.320127999999</v>
      </c>
      <c r="B244" s="31">
        <v>0.99178900000000003</v>
      </c>
      <c r="H244" s="1"/>
    </row>
    <row r="245" spans="1:8" x14ac:dyDescent="0.25">
      <c r="A245" s="31">
        <v>25769.803776000001</v>
      </c>
      <c r="B245" s="31">
        <v>0.99216000000000004</v>
      </c>
      <c r="H245" s="1"/>
    </row>
    <row r="246" spans="1:8" x14ac:dyDescent="0.25">
      <c r="A246" s="31">
        <v>27917.287423999998</v>
      </c>
      <c r="B246" s="31">
        <v>0.993672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"/>
  <sheetViews>
    <sheetView zoomScale="85" zoomScaleNormal="85" workbookViewId="0"/>
  </sheetViews>
  <sheetFormatPr defaultColWidth="9" defaultRowHeight="15" x14ac:dyDescent="0.25"/>
  <cols>
    <col min="1" max="1" width="14.28515625" bestFit="1" customWidth="1"/>
    <col min="2" max="2" width="9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bestFit="1" customWidth="1"/>
    <col min="10" max="10" width="15.42578125" bestFit="1" customWidth="1"/>
  </cols>
  <sheetData>
    <row r="1" spans="1:12" x14ac:dyDescent="0.25">
      <c r="A1" t="s">
        <v>6</v>
      </c>
      <c r="B1" t="s">
        <v>8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32">
        <v>3.9999999999999998E-6</v>
      </c>
      <c r="B2" s="32">
        <v>1.15476</v>
      </c>
      <c r="C2" s="7" t="s">
        <v>1</v>
      </c>
      <c r="D2" s="6">
        <v>1.0002463426440813</v>
      </c>
      <c r="E2" s="2">
        <f t="shared" ref="E2:E65" si="0">$D$2+1/$D$3*($D$8/(1+A2/$D$4)/SQRT(1+A2/$D$4/$D$5/$D$5)+(1-$D$8)/(1+A2/$D$6)/SQRT(1+A2/$D$6/$D$7/$D$7))*(1+$D$9*EXP(-A2/$D$10)+$D$11*EXP(-A2/$D$12))</f>
        <v>1.2405267328866589</v>
      </c>
      <c r="F2">
        <f t="shared" ref="F2:F65" si="1">B2-E2</f>
        <v>-8.5766732886658925E-2</v>
      </c>
      <c r="G2">
        <f>SUMSQ(F$4:F$190)</f>
        <v>2.5370919905978086E-3</v>
      </c>
      <c r="I2" s="13" t="s">
        <v>19</v>
      </c>
      <c r="J2" s="16">
        <v>104</v>
      </c>
      <c r="L2" s="14">
        <f>(J2+J3)/D3</f>
        <v>47.422695168699533</v>
      </c>
    </row>
    <row r="3" spans="1:12" x14ac:dyDescent="0.25">
      <c r="A3" s="32">
        <v>7.9999999999999996E-6</v>
      </c>
      <c r="B3" s="32">
        <v>1.2052099999999999</v>
      </c>
      <c r="C3" s="7" t="s">
        <v>2</v>
      </c>
      <c r="D3" s="6">
        <v>4.343911691800395</v>
      </c>
      <c r="E3" s="2">
        <f t="shared" si="0"/>
        <v>1.2405105035690427</v>
      </c>
      <c r="F3">
        <f t="shared" si="1"/>
        <v>-3.5300503569042796E-2</v>
      </c>
      <c r="I3" s="13" t="s">
        <v>20</v>
      </c>
      <c r="J3" s="16">
        <v>102</v>
      </c>
    </row>
    <row r="4" spans="1:12" x14ac:dyDescent="0.25">
      <c r="A4" s="32">
        <v>1.2E-5</v>
      </c>
      <c r="B4" s="32">
        <v>1.22672</v>
      </c>
      <c r="C4" s="7" t="s">
        <v>26</v>
      </c>
      <c r="D4" s="6">
        <v>0.19005189771607714</v>
      </c>
      <c r="E4" s="2">
        <f t="shared" si="0"/>
        <v>1.2404942871234219</v>
      </c>
      <c r="F4">
        <f t="shared" si="1"/>
        <v>-1.377428712342188E-2</v>
      </c>
      <c r="I4" s="4"/>
    </row>
    <row r="5" spans="1:12" x14ac:dyDescent="0.25">
      <c r="A5" s="32">
        <v>1.5999999999999999E-5</v>
      </c>
      <c r="B5" s="32">
        <v>1.2339899999999999</v>
      </c>
      <c r="C5" s="7" t="s">
        <v>22</v>
      </c>
      <c r="D5" s="6">
        <v>5.2146060058931205</v>
      </c>
      <c r="E5" s="2">
        <f t="shared" si="0"/>
        <v>1.2404780835355791</v>
      </c>
      <c r="F5">
        <f t="shared" si="1"/>
        <v>-6.4880835355791699E-3</v>
      </c>
      <c r="I5" s="4"/>
    </row>
    <row r="6" spans="1:12" x14ac:dyDescent="0.25">
      <c r="A6" s="32">
        <v>2.0000000000000002E-5</v>
      </c>
      <c r="B6" s="32">
        <v>1.23891</v>
      </c>
      <c r="C6" s="7" t="s">
        <v>25</v>
      </c>
      <c r="D6" s="6">
        <v>1.38</v>
      </c>
      <c r="E6" s="2">
        <f t="shared" si="0"/>
        <v>1.2404618927913131</v>
      </c>
      <c r="F6">
        <f t="shared" si="1"/>
        <v>-1.5518927913131808E-3</v>
      </c>
      <c r="I6" s="4"/>
    </row>
    <row r="7" spans="1:12" x14ac:dyDescent="0.25">
      <c r="A7" s="32">
        <v>2.4000000000000001E-5</v>
      </c>
      <c r="B7" s="32">
        <v>1.24292</v>
      </c>
      <c r="C7" s="7" t="s">
        <v>22</v>
      </c>
      <c r="D7" s="6">
        <f>D5</f>
        <v>5.2146060058931205</v>
      </c>
      <c r="E7" s="2">
        <f t="shared" si="0"/>
        <v>1.2404457148764387</v>
      </c>
      <c r="F7">
        <f t="shared" si="1"/>
        <v>2.4742851235612928E-3</v>
      </c>
      <c r="I7" s="4"/>
    </row>
    <row r="8" spans="1:12" x14ac:dyDescent="0.25">
      <c r="A8" s="32">
        <v>2.8E-5</v>
      </c>
      <c r="B8" s="32">
        <v>1.24614</v>
      </c>
      <c r="C8" s="7" t="s">
        <v>13</v>
      </c>
      <c r="D8" s="6">
        <v>1</v>
      </c>
      <c r="E8" s="2">
        <f t="shared" si="0"/>
        <v>1.2404295497767863</v>
      </c>
      <c r="F8">
        <f t="shared" si="1"/>
        <v>5.7104502232137033E-3</v>
      </c>
      <c r="I8" s="4"/>
    </row>
    <row r="9" spans="1:12" x14ac:dyDescent="0.25">
      <c r="A9" s="32">
        <v>3.1999999999999999E-5</v>
      </c>
      <c r="B9" s="32">
        <v>1.23624</v>
      </c>
      <c r="C9" s="7" t="s">
        <v>14</v>
      </c>
      <c r="D9" s="6">
        <v>4.3827351184275422E-2</v>
      </c>
      <c r="E9" s="2">
        <f t="shared" si="0"/>
        <v>1.2404133974782021</v>
      </c>
      <c r="F9">
        <f t="shared" si="1"/>
        <v>-4.1733974782021122E-3</v>
      </c>
      <c r="I9" s="4"/>
    </row>
    <row r="10" spans="1:12" x14ac:dyDescent="0.25">
      <c r="A10" s="32">
        <v>3.6000000000000001E-5</v>
      </c>
      <c r="B10" s="32">
        <v>1.26813</v>
      </c>
      <c r="C10" s="7" t="s">
        <v>24</v>
      </c>
      <c r="D10" s="6">
        <v>3.6364130225792178E-3</v>
      </c>
      <c r="E10" s="2">
        <f t="shared" si="0"/>
        <v>1.240397257966549</v>
      </c>
      <c r="F10">
        <f t="shared" si="1"/>
        <v>2.7732742033450997E-2</v>
      </c>
      <c r="I10" s="4"/>
    </row>
    <row r="11" spans="1:12" x14ac:dyDescent="0.25">
      <c r="A11" s="32">
        <v>4.0000000000000003E-5</v>
      </c>
      <c r="B11" s="32">
        <v>1.2447900000000001</v>
      </c>
      <c r="C11" s="7" t="s">
        <v>15</v>
      </c>
      <c r="D11" s="6">
        <v>0</v>
      </c>
      <c r="E11" s="2">
        <f t="shared" si="0"/>
        <v>1.2403811312277044</v>
      </c>
      <c r="F11">
        <f t="shared" si="1"/>
        <v>4.4088687722956266E-3</v>
      </c>
      <c r="I11" s="4"/>
    </row>
    <row r="12" spans="1:12" x14ac:dyDescent="0.25">
      <c r="A12" s="32">
        <v>4.3999999999999999E-5</v>
      </c>
      <c r="B12" s="32">
        <v>1.25007</v>
      </c>
      <c r="C12" s="7" t="s">
        <v>23</v>
      </c>
      <c r="D12" s="6">
        <v>2.064440385302267E-5</v>
      </c>
      <c r="E12" s="2">
        <f t="shared" si="0"/>
        <v>1.2403650172475627</v>
      </c>
      <c r="F12">
        <f t="shared" si="1"/>
        <v>9.7049827524373633E-3</v>
      </c>
      <c r="I12" s="4"/>
    </row>
    <row r="13" spans="1:12" x14ac:dyDescent="0.25">
      <c r="A13" s="32">
        <v>4.8000000000000001E-5</v>
      </c>
      <c r="B13" s="32">
        <v>1.23203</v>
      </c>
      <c r="E13" s="2">
        <f t="shared" si="0"/>
        <v>1.2403489160120338</v>
      </c>
      <c r="F13">
        <f t="shared" si="1"/>
        <v>-8.3189160120338279E-3</v>
      </c>
    </row>
    <row r="14" spans="1:12" x14ac:dyDescent="0.25">
      <c r="A14" s="32">
        <v>5.1999999999999997E-5</v>
      </c>
      <c r="B14" s="32">
        <v>1.2380199999999999</v>
      </c>
      <c r="E14" s="2">
        <f t="shared" si="0"/>
        <v>1.2403328275070429</v>
      </c>
      <c r="F14">
        <f t="shared" si="1"/>
        <v>-2.3128275070429805E-3</v>
      </c>
    </row>
    <row r="15" spans="1:12" x14ac:dyDescent="0.25">
      <c r="A15" s="32">
        <v>5.5999999999999999E-5</v>
      </c>
      <c r="B15" s="32">
        <v>1.22681</v>
      </c>
      <c r="E15" s="2">
        <f t="shared" si="0"/>
        <v>1.2403167517185314</v>
      </c>
      <c r="F15">
        <f t="shared" si="1"/>
        <v>-1.350675171853144E-2</v>
      </c>
    </row>
    <row r="16" spans="1:12" x14ac:dyDescent="0.25">
      <c r="A16" s="32">
        <v>6.0000000000000002E-5</v>
      </c>
      <c r="B16" s="32">
        <v>1.24488</v>
      </c>
      <c r="E16" s="2">
        <f t="shared" si="0"/>
        <v>1.2403006886324568</v>
      </c>
      <c r="F16">
        <f t="shared" si="1"/>
        <v>4.5793113675431929E-3</v>
      </c>
    </row>
    <row r="17" spans="1:6" x14ac:dyDescent="0.25">
      <c r="A17" s="32">
        <v>6.3999999999999997E-5</v>
      </c>
      <c r="B17" s="32">
        <v>1.2376199999999999</v>
      </c>
      <c r="E17" s="2">
        <f t="shared" si="0"/>
        <v>1.2402846382347918</v>
      </c>
      <c r="F17">
        <f t="shared" si="1"/>
        <v>-2.6646382347919051E-3</v>
      </c>
    </row>
    <row r="18" spans="1:6" x14ac:dyDescent="0.25">
      <c r="A18" s="32">
        <v>7.2000000000000002E-5</v>
      </c>
      <c r="B18" s="32">
        <v>1.2267699999999999</v>
      </c>
      <c r="E18" s="2">
        <f t="shared" si="0"/>
        <v>1.2402525754486604</v>
      </c>
      <c r="F18">
        <f t="shared" si="1"/>
        <v>-1.3482575448660494E-2</v>
      </c>
    </row>
    <row r="19" spans="1:6" x14ac:dyDescent="0.25">
      <c r="A19" s="32">
        <v>8.0000000000000007E-5</v>
      </c>
      <c r="B19" s="32">
        <v>1.24587</v>
      </c>
      <c r="E19" s="2">
        <f t="shared" si="0"/>
        <v>1.2402205632482342</v>
      </c>
      <c r="F19">
        <f t="shared" si="1"/>
        <v>5.6494367517658794E-3</v>
      </c>
    </row>
    <row r="20" spans="1:6" x14ac:dyDescent="0.25">
      <c r="A20" s="32">
        <v>8.7999999999999998E-5</v>
      </c>
      <c r="B20" s="32">
        <v>1.2365299999999999</v>
      </c>
      <c r="E20" s="2">
        <f t="shared" si="0"/>
        <v>1.2401886015218611</v>
      </c>
      <c r="F20">
        <f t="shared" si="1"/>
        <v>-3.658601521861149E-3</v>
      </c>
    </row>
    <row r="21" spans="1:6" x14ac:dyDescent="0.25">
      <c r="A21" s="32">
        <v>9.6000000000000002E-5</v>
      </c>
      <c r="B21" s="32">
        <v>1.2504900000000001</v>
      </c>
      <c r="E21" s="2">
        <f t="shared" si="0"/>
        <v>1.2401566901581393</v>
      </c>
      <c r="F21">
        <f t="shared" si="1"/>
        <v>1.0333309841860761E-2</v>
      </c>
    </row>
    <row r="22" spans="1:6" x14ac:dyDescent="0.25">
      <c r="A22" s="32">
        <v>1.0399999999999999E-4</v>
      </c>
      <c r="B22" s="32">
        <v>1.2266600000000001</v>
      </c>
      <c r="E22" s="2">
        <f t="shared" si="0"/>
        <v>1.2401248290459161</v>
      </c>
      <c r="F22">
        <f t="shared" si="1"/>
        <v>-1.346482904591606E-2</v>
      </c>
    </row>
    <row r="23" spans="1:6" x14ac:dyDescent="0.25">
      <c r="A23" s="32">
        <v>1.12E-4</v>
      </c>
      <c r="B23" s="32">
        <v>1.24356</v>
      </c>
      <c r="E23" s="2">
        <f t="shared" si="0"/>
        <v>1.2400930180742886</v>
      </c>
      <c r="F23">
        <f t="shared" si="1"/>
        <v>3.4669819257113765E-3</v>
      </c>
    </row>
    <row r="24" spans="1:6" x14ac:dyDescent="0.25">
      <c r="A24" s="32">
        <v>1.2E-4</v>
      </c>
      <c r="B24" s="32">
        <v>1.23604</v>
      </c>
      <c r="E24" s="2">
        <f t="shared" si="0"/>
        <v>1.240061257132602</v>
      </c>
      <c r="F24">
        <f t="shared" si="1"/>
        <v>-4.0212571326019297E-3</v>
      </c>
    </row>
    <row r="25" spans="1:6" x14ac:dyDescent="0.25">
      <c r="A25" s="32">
        <v>1.2799999999999999E-4</v>
      </c>
      <c r="B25" s="32">
        <v>1.23725</v>
      </c>
      <c r="E25" s="2">
        <f t="shared" si="0"/>
        <v>1.2400295461104494</v>
      </c>
      <c r="F25">
        <f t="shared" si="1"/>
        <v>-2.7795461104493935E-3</v>
      </c>
    </row>
    <row r="26" spans="1:6" x14ac:dyDescent="0.25">
      <c r="A26" s="32">
        <v>1.44E-4</v>
      </c>
      <c r="B26" s="32">
        <v>1.2376499999999999</v>
      </c>
      <c r="E26" s="2">
        <f t="shared" si="0"/>
        <v>1.2399662733843551</v>
      </c>
      <c r="F26">
        <f t="shared" si="1"/>
        <v>-2.3162733843551386E-3</v>
      </c>
    </row>
    <row r="27" spans="1:6" x14ac:dyDescent="0.25">
      <c r="A27" s="32">
        <v>1.6000000000000001E-4</v>
      </c>
      <c r="B27" s="32">
        <v>1.2412099999999999</v>
      </c>
      <c r="E27" s="2">
        <f t="shared" si="0"/>
        <v>1.2399031990176899</v>
      </c>
      <c r="F27">
        <f t="shared" si="1"/>
        <v>1.3068009823100635E-3</v>
      </c>
    </row>
    <row r="28" spans="1:6" x14ac:dyDescent="0.25">
      <c r="A28" s="32">
        <v>1.76E-4</v>
      </c>
      <c r="B28" s="32">
        <v>1.2383900000000001</v>
      </c>
      <c r="E28" s="2">
        <f t="shared" si="0"/>
        <v>1.2398403221360685</v>
      </c>
      <c r="F28">
        <f t="shared" si="1"/>
        <v>-1.4503221360684382E-3</v>
      </c>
    </row>
    <row r="29" spans="1:6" x14ac:dyDescent="0.25">
      <c r="A29" s="32">
        <v>1.92E-4</v>
      </c>
      <c r="B29" s="32">
        <v>1.2485200000000001</v>
      </c>
      <c r="E29" s="2">
        <f t="shared" si="0"/>
        <v>1.2397776418690212</v>
      </c>
      <c r="F29">
        <f t="shared" si="1"/>
        <v>8.7423581309789E-3</v>
      </c>
    </row>
    <row r="30" spans="1:6" x14ac:dyDescent="0.25">
      <c r="A30" s="32">
        <v>2.0799999999999999E-4</v>
      </c>
      <c r="B30" s="32">
        <v>1.2331099999999999</v>
      </c>
      <c r="E30" s="2">
        <f t="shared" si="0"/>
        <v>1.2397151573499734</v>
      </c>
      <c r="F30">
        <f t="shared" si="1"/>
        <v>-6.6051573499734673E-3</v>
      </c>
    </row>
    <row r="31" spans="1:6" x14ac:dyDescent="0.25">
      <c r="A31" s="32">
        <v>2.24E-4</v>
      </c>
      <c r="B31" s="32">
        <v>1.2404900000000001</v>
      </c>
      <c r="E31" s="2">
        <f t="shared" si="0"/>
        <v>1.2396528677162306</v>
      </c>
      <c r="F31">
        <f t="shared" si="1"/>
        <v>8.3713228376947058E-4</v>
      </c>
    </row>
    <row r="32" spans="1:6" x14ac:dyDescent="0.25">
      <c r="A32" s="32">
        <v>2.4000000000000001E-4</v>
      </c>
      <c r="B32" s="32">
        <v>1.2289600000000001</v>
      </c>
      <c r="E32" s="2">
        <f t="shared" si="0"/>
        <v>1.2395907721089601</v>
      </c>
      <c r="F32">
        <f t="shared" si="1"/>
        <v>-1.0630772108960018E-2</v>
      </c>
    </row>
    <row r="33" spans="1:6" x14ac:dyDescent="0.25">
      <c r="A33" s="32">
        <v>2.5599999999999999E-4</v>
      </c>
      <c r="B33" s="32">
        <v>1.2376100000000001</v>
      </c>
      <c r="E33" s="2">
        <f t="shared" si="0"/>
        <v>1.2395288696731734</v>
      </c>
      <c r="F33">
        <f t="shared" si="1"/>
        <v>-1.9188696731733401E-3</v>
      </c>
    </row>
    <row r="34" spans="1:6" x14ac:dyDescent="0.25">
      <c r="A34" s="32">
        <v>2.8800000000000001E-4</v>
      </c>
      <c r="B34" s="32">
        <v>1.24857</v>
      </c>
      <c r="E34" s="2">
        <f t="shared" si="0"/>
        <v>1.2394056409152163</v>
      </c>
      <c r="F34">
        <f t="shared" si="1"/>
        <v>9.1643590847836354E-3</v>
      </c>
    </row>
    <row r="35" spans="1:6" x14ac:dyDescent="0.25">
      <c r="A35" s="32">
        <v>3.2000000000000003E-4</v>
      </c>
      <c r="B35" s="32">
        <v>1.2432300000000001</v>
      </c>
      <c r="E35" s="2">
        <f t="shared" si="0"/>
        <v>1.2392831746786879</v>
      </c>
      <c r="F35">
        <f t="shared" si="1"/>
        <v>3.9468253213121862E-3</v>
      </c>
    </row>
    <row r="36" spans="1:6" x14ac:dyDescent="0.25">
      <c r="A36" s="32">
        <v>3.5199999999999999E-4</v>
      </c>
      <c r="B36" s="32">
        <v>1.2418899999999999</v>
      </c>
      <c r="E36" s="2">
        <f t="shared" si="0"/>
        <v>1.2391614642603341</v>
      </c>
      <c r="F36">
        <f t="shared" si="1"/>
        <v>2.728535739665805E-3</v>
      </c>
    </row>
    <row r="37" spans="1:6" x14ac:dyDescent="0.25">
      <c r="A37" s="32">
        <v>3.8400000000000001E-4</v>
      </c>
      <c r="B37" s="32">
        <v>1.2418499999999999</v>
      </c>
      <c r="E37" s="2">
        <f t="shared" si="0"/>
        <v>1.2390405030167768</v>
      </c>
      <c r="F37">
        <f t="shared" si="1"/>
        <v>2.8094969832230809E-3</v>
      </c>
    </row>
    <row r="38" spans="1:6" x14ac:dyDescent="0.25">
      <c r="A38" s="32">
        <v>4.1599999999999997E-4</v>
      </c>
      <c r="B38" s="32">
        <v>1.2427999999999999</v>
      </c>
      <c r="E38" s="2">
        <f t="shared" si="0"/>
        <v>1.2389202843639788</v>
      </c>
      <c r="F38">
        <f t="shared" si="1"/>
        <v>3.8797156360210749E-3</v>
      </c>
    </row>
    <row r="39" spans="1:6" x14ac:dyDescent="0.25">
      <c r="A39" s="32">
        <v>4.4799999999999999E-4</v>
      </c>
      <c r="B39" s="32">
        <v>1.23621</v>
      </c>
      <c r="E39" s="2">
        <f t="shared" si="0"/>
        <v>1.2388008017767129</v>
      </c>
      <c r="F39">
        <f t="shared" si="1"/>
        <v>-2.5908017767128921E-3</v>
      </c>
    </row>
    <row r="40" spans="1:6" x14ac:dyDescent="0.25">
      <c r="A40" s="32">
        <v>4.8000000000000001E-4</v>
      </c>
      <c r="B40" s="32">
        <v>1.2451700000000001</v>
      </c>
      <c r="E40" s="2">
        <f t="shared" si="0"/>
        <v>1.2386820487880368</v>
      </c>
      <c r="F40">
        <f t="shared" si="1"/>
        <v>6.4879512119633276E-3</v>
      </c>
    </row>
    <row r="41" spans="1:6" x14ac:dyDescent="0.25">
      <c r="A41" s="32">
        <v>5.1199999999999998E-4</v>
      </c>
      <c r="B41" s="32">
        <v>1.23987</v>
      </c>
      <c r="E41" s="2">
        <f t="shared" si="0"/>
        <v>1.2385640189887701</v>
      </c>
      <c r="F41">
        <f t="shared" si="1"/>
        <v>1.3059810112299175E-3</v>
      </c>
    </row>
    <row r="42" spans="1:6" x14ac:dyDescent="0.25">
      <c r="A42" s="32">
        <v>5.7600000000000001E-4</v>
      </c>
      <c r="B42" s="32">
        <v>1.2399800000000001</v>
      </c>
      <c r="E42" s="2">
        <f t="shared" si="0"/>
        <v>1.2383301036074661</v>
      </c>
      <c r="F42">
        <f t="shared" si="1"/>
        <v>1.6498963925339893E-3</v>
      </c>
    </row>
    <row r="43" spans="1:6" x14ac:dyDescent="0.25">
      <c r="A43" s="32">
        <v>6.4000000000000005E-4</v>
      </c>
      <c r="B43" s="32">
        <v>1.23885</v>
      </c>
      <c r="E43" s="2">
        <f t="shared" si="0"/>
        <v>1.2380990054951058</v>
      </c>
      <c r="F43">
        <f t="shared" si="1"/>
        <v>7.5099450489424235E-4</v>
      </c>
    </row>
    <row r="44" spans="1:6" x14ac:dyDescent="0.25">
      <c r="A44" s="32">
        <v>7.0399999999999998E-4</v>
      </c>
      <c r="B44" s="32">
        <v>1.2407999999999999</v>
      </c>
      <c r="E44" s="2">
        <f t="shared" si="0"/>
        <v>1.2378706754056159</v>
      </c>
      <c r="F44">
        <f t="shared" si="1"/>
        <v>2.9293245943839974E-3</v>
      </c>
    </row>
    <row r="45" spans="1:6" x14ac:dyDescent="0.25">
      <c r="A45" s="32">
        <v>7.6800000000000002E-4</v>
      </c>
      <c r="B45" s="32">
        <v>1.2408600000000001</v>
      </c>
      <c r="E45" s="2">
        <f t="shared" si="0"/>
        <v>1.2376450649686681</v>
      </c>
      <c r="F45">
        <f t="shared" si="1"/>
        <v>3.2149350313319669E-3</v>
      </c>
    </row>
    <row r="46" spans="1:6" x14ac:dyDescent="0.25">
      <c r="A46" s="32">
        <v>8.3199999999999995E-4</v>
      </c>
      <c r="B46" s="32">
        <v>1.2375</v>
      </c>
      <c r="E46" s="2">
        <f t="shared" si="0"/>
        <v>1.2374221266740859</v>
      </c>
      <c r="F46">
        <f t="shared" si="1"/>
        <v>7.7873325914135094E-5</v>
      </c>
    </row>
    <row r="47" spans="1:6" x14ac:dyDescent="0.25">
      <c r="A47" s="32">
        <v>8.9599999999999999E-4</v>
      </c>
      <c r="B47" s="32">
        <v>1.2388999999999999</v>
      </c>
      <c r="E47" s="2">
        <f t="shared" si="0"/>
        <v>1.2372018138565291</v>
      </c>
      <c r="F47">
        <f t="shared" si="1"/>
        <v>1.6981861434708367E-3</v>
      </c>
    </row>
    <row r="48" spans="1:6" x14ac:dyDescent="0.25">
      <c r="A48" s="32">
        <v>9.6000000000000002E-4</v>
      </c>
      <c r="B48" s="32">
        <v>1.23295</v>
      </c>
      <c r="E48" s="2">
        <f t="shared" si="0"/>
        <v>1.2369840806804486</v>
      </c>
      <c r="F48">
        <f t="shared" si="1"/>
        <v>-4.0340806804486373E-3</v>
      </c>
    </row>
    <row r="49" spans="1:6" x14ac:dyDescent="0.25">
      <c r="A49" s="32">
        <v>1.024E-3</v>
      </c>
      <c r="B49" s="32">
        <v>1.2377899999999999</v>
      </c>
      <c r="E49" s="2">
        <f t="shared" si="0"/>
        <v>1.2367688821253138</v>
      </c>
      <c r="F49">
        <f t="shared" si="1"/>
        <v>1.0211178746861727E-3</v>
      </c>
    </row>
    <row r="50" spans="1:6" x14ac:dyDescent="0.25">
      <c r="A50" s="32">
        <v>1.152E-3</v>
      </c>
      <c r="B50" s="32">
        <v>1.2343</v>
      </c>
      <c r="E50" s="2">
        <f t="shared" si="0"/>
        <v>1.2363459127840302</v>
      </c>
      <c r="F50">
        <f t="shared" si="1"/>
        <v>-2.0459127840302127E-3</v>
      </c>
    </row>
    <row r="51" spans="1:6" x14ac:dyDescent="0.25">
      <c r="A51" s="32">
        <v>1.2800000000000001E-3</v>
      </c>
      <c r="B51" s="32">
        <v>1.2390000000000001</v>
      </c>
      <c r="E51" s="2">
        <f t="shared" si="0"/>
        <v>1.2359325614237482</v>
      </c>
      <c r="F51">
        <f t="shared" si="1"/>
        <v>3.067438576251913E-3</v>
      </c>
    </row>
    <row r="52" spans="1:6" x14ac:dyDescent="0.25">
      <c r="A52" s="32">
        <v>1.408E-3</v>
      </c>
      <c r="B52" s="32">
        <v>1.2367300000000001</v>
      </c>
      <c r="E52" s="2">
        <f t="shared" si="0"/>
        <v>1.235528495773534</v>
      </c>
      <c r="F52">
        <f t="shared" si="1"/>
        <v>1.2015042264661435E-3</v>
      </c>
    </row>
    <row r="53" spans="1:6" x14ac:dyDescent="0.25">
      <c r="A53" s="32">
        <v>1.536E-3</v>
      </c>
      <c r="B53" s="32">
        <v>1.2331000000000001</v>
      </c>
      <c r="E53" s="2">
        <f t="shared" si="0"/>
        <v>1.2351333952720627</v>
      </c>
      <c r="F53">
        <f t="shared" si="1"/>
        <v>-2.0333952720625881E-3</v>
      </c>
    </row>
    <row r="54" spans="1:6" x14ac:dyDescent="0.25">
      <c r="A54" s="32">
        <v>1.6639999999999999E-3</v>
      </c>
      <c r="B54" s="32">
        <v>1.2322</v>
      </c>
      <c r="E54" s="2">
        <f t="shared" si="0"/>
        <v>1.2347469506543585</v>
      </c>
      <c r="F54">
        <f t="shared" si="1"/>
        <v>-2.5469506543585041E-3</v>
      </c>
    </row>
    <row r="55" spans="1:6" x14ac:dyDescent="0.25">
      <c r="A55" s="32">
        <v>1.792E-3</v>
      </c>
      <c r="B55" s="32">
        <v>1.2327999999999999</v>
      </c>
      <c r="E55" s="2">
        <f t="shared" si="0"/>
        <v>1.2343688635531267</v>
      </c>
      <c r="F55">
        <f t="shared" si="1"/>
        <v>-1.568863553126798E-3</v>
      </c>
    </row>
    <row r="56" spans="1:6" x14ac:dyDescent="0.25">
      <c r="A56" s="32">
        <v>1.92E-3</v>
      </c>
      <c r="B56" s="32">
        <v>1.2328300000000001</v>
      </c>
      <c r="E56" s="2">
        <f t="shared" si="0"/>
        <v>1.2339988461141604</v>
      </c>
      <c r="F56">
        <f t="shared" si="1"/>
        <v>-1.168846114160349E-3</v>
      </c>
    </row>
    <row r="57" spans="1:6" x14ac:dyDescent="0.25">
      <c r="A57" s="32">
        <v>2.0479999999999999E-3</v>
      </c>
      <c r="B57" s="32">
        <v>1.2327600000000001</v>
      </c>
      <c r="E57" s="2">
        <f t="shared" si="0"/>
        <v>1.233636620625328</v>
      </c>
      <c r="F57">
        <f t="shared" si="1"/>
        <v>-8.766206253278952E-4</v>
      </c>
    </row>
    <row r="58" spans="1:6" x14ac:dyDescent="0.25">
      <c r="A58" s="32">
        <v>2.3040000000000001E-3</v>
      </c>
      <c r="B58" s="32">
        <v>1.2325299999999999</v>
      </c>
      <c r="E58" s="2">
        <f t="shared" si="0"/>
        <v>1.2329344832250664</v>
      </c>
      <c r="F58">
        <f t="shared" si="1"/>
        <v>-4.0448322506647649E-4</v>
      </c>
    </row>
    <row r="59" spans="1:6" x14ac:dyDescent="0.25">
      <c r="A59" s="32">
        <v>2.5600000000000002E-3</v>
      </c>
      <c r="B59" s="32">
        <v>1.23184</v>
      </c>
      <c r="E59" s="2">
        <f t="shared" si="0"/>
        <v>1.2322604192084325</v>
      </c>
      <c r="F59">
        <f t="shared" si="1"/>
        <v>-4.2041920843249869E-4</v>
      </c>
    </row>
    <row r="60" spans="1:6" x14ac:dyDescent="0.25">
      <c r="A60" s="32">
        <v>2.8159999999999999E-3</v>
      </c>
      <c r="B60" s="32">
        <v>1.2316499999999999</v>
      </c>
      <c r="E60" s="2">
        <f t="shared" si="0"/>
        <v>1.231612537073828</v>
      </c>
      <c r="F60">
        <f t="shared" si="1"/>
        <v>3.7462926171905053E-5</v>
      </c>
    </row>
    <row r="61" spans="1:6" x14ac:dyDescent="0.25">
      <c r="A61" s="32">
        <v>3.0720000000000001E-3</v>
      </c>
      <c r="B61" s="32">
        <v>1.2302299999999999</v>
      </c>
      <c r="E61" s="2">
        <f t="shared" si="0"/>
        <v>1.2309890762113389</v>
      </c>
      <c r="F61">
        <f t="shared" si="1"/>
        <v>-7.5907621133897152E-4</v>
      </c>
    </row>
    <row r="62" spans="1:6" x14ac:dyDescent="0.25">
      <c r="A62" s="32">
        <v>3.3279999999999998E-3</v>
      </c>
      <c r="B62" s="32">
        <v>1.2302500000000001</v>
      </c>
      <c r="E62" s="2">
        <f t="shared" si="0"/>
        <v>1.2303883978284309</v>
      </c>
      <c r="F62">
        <f t="shared" si="1"/>
        <v>-1.3839782843083626E-4</v>
      </c>
    </row>
    <row r="63" spans="1:6" x14ac:dyDescent="0.25">
      <c r="A63" s="32">
        <v>3.5839999999999999E-3</v>
      </c>
      <c r="B63" s="32">
        <v>1.2324200000000001</v>
      </c>
      <c r="E63" s="2">
        <f t="shared" si="0"/>
        <v>1.2298089765050373</v>
      </c>
      <c r="F63">
        <f t="shared" si="1"/>
        <v>2.6110234949627831E-3</v>
      </c>
    </row>
    <row r="64" spans="1:6" x14ac:dyDescent="0.25">
      <c r="A64" s="32">
        <v>3.8400000000000001E-3</v>
      </c>
      <c r="B64" s="32">
        <v>1.22929</v>
      </c>
      <c r="E64" s="2">
        <f t="shared" si="0"/>
        <v>1.2292493923343684</v>
      </c>
      <c r="F64">
        <f t="shared" si="1"/>
        <v>4.0607665631631207E-5</v>
      </c>
    </row>
    <row r="65" spans="1:6" x14ac:dyDescent="0.25">
      <c r="A65" s="32">
        <v>4.0959999999999998E-3</v>
      </c>
      <c r="B65" s="32">
        <v>1.22807</v>
      </c>
      <c r="E65" s="2">
        <f t="shared" si="0"/>
        <v>1.2287083236088003</v>
      </c>
      <c r="F65">
        <f t="shared" si="1"/>
        <v>-6.3832360880033967E-4</v>
      </c>
    </row>
    <row r="66" spans="1:6" x14ac:dyDescent="0.25">
      <c r="A66" s="32">
        <v>4.6080000000000001E-3</v>
      </c>
      <c r="B66" s="32">
        <v>1.2267999999999999</v>
      </c>
      <c r="E66" s="2">
        <f t="shared" ref="E66:E129" si="2">$D$2+1/$D$3*($D$8/(1+A66/$D$4)/SQRT(1+A66/$D$4/$D$5/$D$5)+(1-$D$8)/(1+A66/$D$6)/SQRT(1+A66/$D$6/$D$7/$D$7))*(1+$D$9*EXP(-A66/$D$10)+$D$11*EXP(-A66/$D$12))</f>
        <v>1.2276768962892788</v>
      </c>
      <c r="F66">
        <f t="shared" ref="F66:F129" si="3">B66-E66</f>
        <v>-8.7689628927889451E-4</v>
      </c>
    </row>
    <row r="67" spans="1:6" x14ac:dyDescent="0.25">
      <c r="A67" s="32">
        <v>5.1200000000000004E-3</v>
      </c>
      <c r="B67" s="32">
        <v>1.2264999999999999</v>
      </c>
      <c r="E67" s="2">
        <f t="shared" si="2"/>
        <v>1.226705837750494</v>
      </c>
      <c r="F67">
        <f t="shared" si="3"/>
        <v>-2.058377504940978E-4</v>
      </c>
    </row>
    <row r="68" spans="1:6" x14ac:dyDescent="0.25">
      <c r="A68" s="32">
        <v>5.6319999999999999E-3</v>
      </c>
      <c r="B68" s="32">
        <v>1.2257499999999999</v>
      </c>
      <c r="E68" s="2">
        <f t="shared" si="2"/>
        <v>1.2257874730492875</v>
      </c>
      <c r="F68">
        <f t="shared" si="3"/>
        <v>-3.7473049287584104E-5</v>
      </c>
    </row>
    <row r="69" spans="1:6" x14ac:dyDescent="0.25">
      <c r="A69" s="32">
        <v>6.1440000000000002E-3</v>
      </c>
      <c r="B69" s="32">
        <v>1.22458</v>
      </c>
      <c r="E69" s="2">
        <f t="shared" si="2"/>
        <v>1.2249151509557357</v>
      </c>
      <c r="F69">
        <f t="shared" si="3"/>
        <v>-3.3515095573566356E-4</v>
      </c>
    </row>
    <row r="70" spans="1:6" x14ac:dyDescent="0.25">
      <c r="A70" s="32">
        <v>6.6559999999999996E-3</v>
      </c>
      <c r="B70" s="32">
        <v>1.22421</v>
      </c>
      <c r="E70" s="2">
        <f t="shared" si="2"/>
        <v>1.2240831069845801</v>
      </c>
      <c r="F70">
        <f t="shared" si="3"/>
        <v>1.2689301541990439E-4</v>
      </c>
    </row>
    <row r="71" spans="1:6" x14ac:dyDescent="0.25">
      <c r="A71" s="32">
        <v>7.1679999999999999E-3</v>
      </c>
      <c r="B71" s="32">
        <v>1.2215100000000001</v>
      </c>
      <c r="E71" s="2">
        <f t="shared" si="2"/>
        <v>1.2232863447623645</v>
      </c>
      <c r="F71">
        <f t="shared" si="3"/>
        <v>-1.7763447623644346E-3</v>
      </c>
    </row>
    <row r="72" spans="1:6" x14ac:dyDescent="0.25">
      <c r="A72" s="32">
        <v>7.6800000000000002E-3</v>
      </c>
      <c r="B72" s="32">
        <v>1.2226300000000001</v>
      </c>
      <c r="E72" s="2">
        <f t="shared" si="2"/>
        <v>1.222520533274825</v>
      </c>
      <c r="F72">
        <f t="shared" si="3"/>
        <v>1.0946672517508915E-4</v>
      </c>
    </row>
    <row r="73" spans="1:6" x14ac:dyDescent="0.25">
      <c r="A73" s="32">
        <v>8.1919999999999996E-3</v>
      </c>
      <c r="B73" s="32">
        <v>1.2208699999999999</v>
      </c>
      <c r="E73" s="2">
        <f t="shared" si="2"/>
        <v>1.2217819178680196</v>
      </c>
      <c r="F73">
        <f t="shared" si="3"/>
        <v>-9.1191786801969599E-4</v>
      </c>
    </row>
    <row r="74" spans="1:6" x14ac:dyDescent="0.25">
      <c r="A74" s="32">
        <v>9.2160000000000002E-3</v>
      </c>
      <c r="B74" s="32">
        <v>1.2204900000000001</v>
      </c>
      <c r="E74" s="2">
        <f t="shared" si="2"/>
        <v>1.220373686278905</v>
      </c>
      <c r="F74">
        <f t="shared" si="3"/>
        <v>1.1631372109510707E-4</v>
      </c>
    </row>
    <row r="75" spans="1:6" x14ac:dyDescent="0.25">
      <c r="A75" s="32">
        <v>1.0240000000000001E-2</v>
      </c>
      <c r="B75" s="32">
        <v>1.2189099999999999</v>
      </c>
      <c r="E75" s="2">
        <f t="shared" si="2"/>
        <v>1.2190404577348635</v>
      </c>
      <c r="F75">
        <f t="shared" si="3"/>
        <v>-1.3045773486353163E-4</v>
      </c>
    </row>
    <row r="76" spans="1:6" x14ac:dyDescent="0.25">
      <c r="A76" s="32">
        <v>1.1264E-2</v>
      </c>
      <c r="B76" s="32">
        <v>1.2177500000000001</v>
      </c>
      <c r="E76" s="2">
        <f t="shared" si="2"/>
        <v>1.2177662869519268</v>
      </c>
      <c r="F76">
        <f t="shared" si="3"/>
        <v>-1.6286951926680615E-5</v>
      </c>
    </row>
    <row r="77" spans="1:6" x14ac:dyDescent="0.25">
      <c r="A77" s="32">
        <v>1.2288E-2</v>
      </c>
      <c r="B77" s="32">
        <v>1.21787</v>
      </c>
      <c r="E77" s="2">
        <f t="shared" si="2"/>
        <v>1.216539166575328</v>
      </c>
      <c r="F77">
        <f t="shared" si="3"/>
        <v>1.3308334246719955E-3</v>
      </c>
    </row>
    <row r="78" spans="1:6" x14ac:dyDescent="0.25">
      <c r="A78" s="32">
        <v>1.3311999999999999E-2</v>
      </c>
      <c r="B78" s="32">
        <v>1.2159899999999999</v>
      </c>
      <c r="E78" s="2">
        <f t="shared" si="2"/>
        <v>1.2153500449992949</v>
      </c>
      <c r="F78">
        <f t="shared" si="3"/>
        <v>6.3995500070501699E-4</v>
      </c>
    </row>
    <row r="79" spans="1:6" x14ac:dyDescent="0.25">
      <c r="A79" s="32">
        <v>1.4336E-2</v>
      </c>
      <c r="B79" s="32">
        <v>1.21604</v>
      </c>
      <c r="E79" s="2">
        <f t="shared" si="2"/>
        <v>1.2141920894080074</v>
      </c>
      <c r="F79">
        <f t="shared" si="3"/>
        <v>1.8479105919926297E-3</v>
      </c>
    </row>
    <row r="80" spans="1:6" x14ac:dyDescent="0.25">
      <c r="A80" s="32">
        <v>1.536E-2</v>
      </c>
      <c r="B80" s="32">
        <v>1.2130799999999999</v>
      </c>
      <c r="E80" s="2">
        <f t="shared" si="2"/>
        <v>1.2130601327918151</v>
      </c>
      <c r="F80">
        <f t="shared" si="3"/>
        <v>1.9867208184809471E-5</v>
      </c>
    </row>
    <row r="81" spans="1:6" x14ac:dyDescent="0.25">
      <c r="A81" s="32">
        <v>1.6383999999999999E-2</v>
      </c>
      <c r="B81" s="32">
        <v>1.21163</v>
      </c>
      <c r="E81" s="2">
        <f t="shared" si="2"/>
        <v>1.2119502589939628</v>
      </c>
      <c r="F81">
        <f t="shared" si="3"/>
        <v>-3.2025899396281865E-4</v>
      </c>
    </row>
    <row r="82" spans="1:6" x14ac:dyDescent="0.25">
      <c r="A82" s="32">
        <v>1.8432E-2</v>
      </c>
      <c r="B82" s="32">
        <v>1.2097100000000001</v>
      </c>
      <c r="E82" s="2">
        <f t="shared" si="2"/>
        <v>1.2097855588545983</v>
      </c>
      <c r="F82">
        <f t="shared" si="3"/>
        <v>-7.5558854598201108E-5</v>
      </c>
    </row>
    <row r="83" spans="1:6" x14ac:dyDescent="0.25">
      <c r="A83" s="32">
        <v>2.0480000000000002E-2</v>
      </c>
      <c r="B83" s="32">
        <v>1.2067300000000001</v>
      </c>
      <c r="E83" s="2">
        <f t="shared" si="2"/>
        <v>1.2076816362380458</v>
      </c>
      <c r="F83">
        <f t="shared" si="3"/>
        <v>-9.5163623804572772E-4</v>
      </c>
    </row>
    <row r="84" spans="1:6" x14ac:dyDescent="0.25">
      <c r="A84" s="32">
        <v>2.2527999999999999E-2</v>
      </c>
      <c r="B84" s="32">
        <v>1.2056100000000001</v>
      </c>
      <c r="E84" s="2">
        <f t="shared" si="2"/>
        <v>1.2056287840405893</v>
      </c>
      <c r="F84">
        <f t="shared" si="3"/>
        <v>-1.8784040589192585E-5</v>
      </c>
    </row>
    <row r="85" spans="1:6" x14ac:dyDescent="0.25">
      <c r="A85" s="32">
        <v>2.4576000000000001E-2</v>
      </c>
      <c r="B85" s="32">
        <v>1.204</v>
      </c>
      <c r="E85" s="2">
        <f t="shared" si="2"/>
        <v>1.2036210574515878</v>
      </c>
      <c r="F85">
        <f t="shared" si="3"/>
        <v>3.7894254841219777E-4</v>
      </c>
    </row>
    <row r="86" spans="1:6" x14ac:dyDescent="0.25">
      <c r="A86" s="32">
        <v>2.6623999999999998E-2</v>
      </c>
      <c r="B86" s="32">
        <v>1.2019299999999999</v>
      </c>
      <c r="E86" s="2">
        <f t="shared" si="2"/>
        <v>1.2016546490324111</v>
      </c>
      <c r="F86">
        <f t="shared" si="3"/>
        <v>2.753509675887944E-4</v>
      </c>
    </row>
    <row r="87" spans="1:6" x14ac:dyDescent="0.25">
      <c r="A87" s="32">
        <v>2.8672E-2</v>
      </c>
      <c r="B87" s="32">
        <v>1.1995199999999999</v>
      </c>
      <c r="E87" s="2">
        <f t="shared" si="2"/>
        <v>1.1997269725561741</v>
      </c>
      <c r="F87">
        <f t="shared" si="3"/>
        <v>-2.0697255617418975E-4</v>
      </c>
    </row>
    <row r="88" spans="1:6" x14ac:dyDescent="0.25">
      <c r="A88" s="32">
        <v>3.0720000000000001E-2</v>
      </c>
      <c r="B88" s="32">
        <v>1.19726</v>
      </c>
      <c r="E88" s="2">
        <f t="shared" si="2"/>
        <v>1.1978361460912805</v>
      </c>
      <c r="F88">
        <f t="shared" si="3"/>
        <v>-5.7614609128053829E-4</v>
      </c>
    </row>
    <row r="89" spans="1:6" x14ac:dyDescent="0.25">
      <c r="A89" s="32">
        <v>3.2767999999999999E-2</v>
      </c>
      <c r="B89" s="32">
        <v>1.1958200000000001</v>
      </c>
      <c r="E89" s="2">
        <f t="shared" si="2"/>
        <v>1.195980700020383</v>
      </c>
      <c r="F89">
        <f t="shared" si="3"/>
        <v>-1.6070002038293119E-4</v>
      </c>
    </row>
    <row r="90" spans="1:6" x14ac:dyDescent="0.25">
      <c r="A90" s="32">
        <v>3.6864000000000001E-2</v>
      </c>
      <c r="B90" s="32">
        <v>1.19228</v>
      </c>
      <c r="E90" s="2">
        <f t="shared" si="2"/>
        <v>1.1923712122863441</v>
      </c>
      <c r="F90">
        <f t="shared" si="3"/>
        <v>-9.1212286344122262E-5</v>
      </c>
    </row>
    <row r="91" spans="1:6" x14ac:dyDescent="0.25">
      <c r="A91" s="32">
        <v>4.0960000000000003E-2</v>
      </c>
      <c r="B91" s="32">
        <v>1.1892400000000001</v>
      </c>
      <c r="E91" s="2">
        <f t="shared" si="2"/>
        <v>1.188890271001585</v>
      </c>
      <c r="F91">
        <f t="shared" si="3"/>
        <v>3.4972899841512195E-4</v>
      </c>
    </row>
    <row r="92" spans="1:6" x14ac:dyDescent="0.25">
      <c r="A92" s="32">
        <v>4.5055999999999999E-2</v>
      </c>
      <c r="B92" s="32">
        <v>1.1853100000000001</v>
      </c>
      <c r="E92" s="2">
        <f t="shared" si="2"/>
        <v>1.1855308510408684</v>
      </c>
      <c r="F92">
        <f t="shared" si="3"/>
        <v>-2.2085104086833063E-4</v>
      </c>
    </row>
    <row r="93" spans="1:6" x14ac:dyDescent="0.25">
      <c r="A93" s="32">
        <v>4.9152000000000001E-2</v>
      </c>
      <c r="B93" s="32">
        <v>1.18194</v>
      </c>
      <c r="E93" s="2">
        <f t="shared" si="2"/>
        <v>1.1822866120335995</v>
      </c>
      <c r="F93">
        <f t="shared" si="3"/>
        <v>-3.4661203359953596E-4</v>
      </c>
    </row>
    <row r="94" spans="1:6" x14ac:dyDescent="0.25">
      <c r="A94" s="32">
        <v>5.3247999999999997E-2</v>
      </c>
      <c r="B94" s="32">
        <v>1.1793</v>
      </c>
      <c r="E94" s="2">
        <f t="shared" si="2"/>
        <v>1.1791517054383649</v>
      </c>
      <c r="F94">
        <f t="shared" si="3"/>
        <v>1.4829456163512056E-4</v>
      </c>
    </row>
    <row r="95" spans="1:6" x14ac:dyDescent="0.25">
      <c r="A95" s="32">
        <v>5.7343999999999999E-2</v>
      </c>
      <c r="B95" s="32">
        <v>1.1764699999999999</v>
      </c>
      <c r="E95" s="2">
        <f t="shared" si="2"/>
        <v>1.1761206907113317</v>
      </c>
      <c r="F95">
        <f t="shared" si="3"/>
        <v>3.493092886681648E-4</v>
      </c>
    </row>
    <row r="96" spans="1:6" x14ac:dyDescent="0.25">
      <c r="A96" s="32">
        <v>6.1440000000000002E-2</v>
      </c>
      <c r="B96" s="32">
        <v>1.1733</v>
      </c>
      <c r="E96" s="2">
        <f t="shared" si="2"/>
        <v>1.173188488335821</v>
      </c>
      <c r="F96">
        <f t="shared" si="3"/>
        <v>1.1151166417899816E-4</v>
      </c>
    </row>
    <row r="97" spans="1:6" x14ac:dyDescent="0.25">
      <c r="A97" s="32">
        <v>6.5535999999999997E-2</v>
      </c>
      <c r="B97" s="32">
        <v>1.17086</v>
      </c>
      <c r="E97" s="2">
        <f t="shared" si="2"/>
        <v>1.1703503465103586</v>
      </c>
      <c r="F97">
        <f t="shared" si="3"/>
        <v>5.096534896413818E-4</v>
      </c>
    </row>
    <row r="98" spans="1:6" x14ac:dyDescent="0.25">
      <c r="A98" s="32">
        <v>7.3728000000000002E-2</v>
      </c>
      <c r="B98" s="32">
        <v>1.1650799999999999</v>
      </c>
      <c r="E98" s="2">
        <f t="shared" si="2"/>
        <v>1.1649387158879685</v>
      </c>
      <c r="F98">
        <f t="shared" si="3"/>
        <v>1.4128411203140345E-4</v>
      </c>
    </row>
    <row r="99" spans="1:6" x14ac:dyDescent="0.25">
      <c r="A99" s="32">
        <v>8.1920000000000007E-2</v>
      </c>
      <c r="B99" s="32">
        <v>1.15985</v>
      </c>
      <c r="E99" s="2">
        <f t="shared" si="2"/>
        <v>1.1598533828095694</v>
      </c>
      <c r="F99">
        <f t="shared" si="3"/>
        <v>-3.3828095693522187E-6</v>
      </c>
    </row>
    <row r="100" spans="1:6" x14ac:dyDescent="0.25">
      <c r="A100" s="32">
        <v>9.0111999999999998E-2</v>
      </c>
      <c r="B100" s="32">
        <v>1.15493</v>
      </c>
      <c r="E100" s="2">
        <f t="shared" si="2"/>
        <v>1.1550657232484682</v>
      </c>
      <c r="F100">
        <f t="shared" si="3"/>
        <v>-1.3572324846822248E-4</v>
      </c>
    </row>
    <row r="101" spans="1:6" x14ac:dyDescent="0.25">
      <c r="A101" s="32">
        <v>9.8304000000000002E-2</v>
      </c>
      <c r="B101" s="32">
        <v>1.15063</v>
      </c>
      <c r="E101" s="2">
        <f t="shared" si="2"/>
        <v>1.1505503660055143</v>
      </c>
      <c r="F101">
        <f t="shared" si="3"/>
        <v>7.9633994485739379E-5</v>
      </c>
    </row>
    <row r="102" spans="1:6" x14ac:dyDescent="0.25">
      <c r="A102" s="32">
        <v>0.10649599999999999</v>
      </c>
      <c r="B102" s="32">
        <v>1.1467000000000001</v>
      </c>
      <c r="E102" s="2">
        <f t="shared" si="2"/>
        <v>1.1462847433647374</v>
      </c>
      <c r="F102">
        <f t="shared" si="3"/>
        <v>4.1525663526265078E-4</v>
      </c>
    </row>
    <row r="103" spans="1:6" x14ac:dyDescent="0.25">
      <c r="A103" s="32">
        <v>0.114688</v>
      </c>
      <c r="B103" s="32">
        <v>1.1420699999999999</v>
      </c>
      <c r="E103" s="2">
        <f t="shared" si="2"/>
        <v>1.1422487142723432</v>
      </c>
      <c r="F103">
        <f t="shared" si="3"/>
        <v>-1.787142723432833E-4</v>
      </c>
    </row>
    <row r="104" spans="1:6" x14ac:dyDescent="0.25">
      <c r="A104" s="32">
        <v>0.12288</v>
      </c>
      <c r="B104" s="32">
        <v>1.1383799999999999</v>
      </c>
      <c r="E104" s="2">
        <f t="shared" si="2"/>
        <v>1.1384242467076227</v>
      </c>
      <c r="F104">
        <f t="shared" si="3"/>
        <v>-4.4246707622708215E-5</v>
      </c>
    </row>
    <row r="105" spans="1:6" x14ac:dyDescent="0.25">
      <c r="A105" s="32">
        <v>0.13107199999999999</v>
      </c>
      <c r="B105" s="32">
        <v>1.1346700000000001</v>
      </c>
      <c r="E105" s="2">
        <f t="shared" si="2"/>
        <v>1.1347951486714387</v>
      </c>
      <c r="F105">
        <f t="shared" si="3"/>
        <v>-1.2514867143864628E-4</v>
      </c>
    </row>
    <row r="106" spans="1:6" x14ac:dyDescent="0.25">
      <c r="A106" s="32">
        <v>0.147456</v>
      </c>
      <c r="B106" s="32">
        <v>1.1279600000000001</v>
      </c>
      <c r="E106" s="2">
        <f t="shared" si="2"/>
        <v>1.1280661534642964</v>
      </c>
      <c r="F106">
        <f t="shared" si="3"/>
        <v>-1.0615346429632133E-4</v>
      </c>
    </row>
    <row r="107" spans="1:6" x14ac:dyDescent="0.25">
      <c r="A107" s="32">
        <v>0.16384000000000001</v>
      </c>
      <c r="B107" s="32">
        <v>1.1217600000000001</v>
      </c>
      <c r="E107" s="2">
        <f t="shared" si="2"/>
        <v>1.121961086432288</v>
      </c>
      <c r="F107">
        <f t="shared" si="3"/>
        <v>-2.0108643228788914E-4</v>
      </c>
    </row>
    <row r="108" spans="1:6" x14ac:dyDescent="0.25">
      <c r="A108" s="32">
        <v>0.180224</v>
      </c>
      <c r="B108" s="32">
        <v>1.1164000000000001</v>
      </c>
      <c r="E108" s="2">
        <f t="shared" si="2"/>
        <v>1.1163971183282428</v>
      </c>
      <c r="F108">
        <f t="shared" si="3"/>
        <v>2.8816717572155426E-6</v>
      </c>
    </row>
    <row r="109" spans="1:6" x14ac:dyDescent="0.25">
      <c r="A109" s="32">
        <v>0.196608</v>
      </c>
      <c r="B109" s="32">
        <v>1.1111899999999999</v>
      </c>
      <c r="E109" s="2">
        <f t="shared" si="2"/>
        <v>1.1113054589164846</v>
      </c>
      <c r="F109">
        <f t="shared" si="3"/>
        <v>-1.1545891648467865E-4</v>
      </c>
    </row>
    <row r="110" spans="1:6" x14ac:dyDescent="0.25">
      <c r="A110" s="32">
        <v>0.21299199999999999</v>
      </c>
      <c r="B110" s="32">
        <v>1.1066499999999999</v>
      </c>
      <c r="E110" s="2">
        <f t="shared" si="2"/>
        <v>1.106628503496637</v>
      </c>
      <c r="F110">
        <f t="shared" si="3"/>
        <v>2.1496503362916641E-5</v>
      </c>
    </row>
    <row r="111" spans="1:6" x14ac:dyDescent="0.25">
      <c r="A111" s="32">
        <v>0.229376</v>
      </c>
      <c r="B111" s="32">
        <v>1.10267</v>
      </c>
      <c r="E111" s="2">
        <f t="shared" si="2"/>
        <v>1.1023176482149162</v>
      </c>
      <c r="F111">
        <f t="shared" si="3"/>
        <v>3.5235178508385978E-4</v>
      </c>
    </row>
    <row r="112" spans="1:6" x14ac:dyDescent="0.25">
      <c r="A112" s="32">
        <v>0.24576000000000001</v>
      </c>
      <c r="B112" s="32">
        <v>1.09822</v>
      </c>
      <c r="E112" s="2">
        <f t="shared" si="2"/>
        <v>1.0983315981651935</v>
      </c>
      <c r="F112">
        <f t="shared" si="3"/>
        <v>-1.1159816519357157E-4</v>
      </c>
    </row>
    <row r="113" spans="1:6" x14ac:dyDescent="0.25">
      <c r="A113" s="32">
        <v>0.26214399999999999</v>
      </c>
      <c r="B113" s="32">
        <v>1.0947</v>
      </c>
      <c r="E113" s="2">
        <f t="shared" si="2"/>
        <v>1.0946350432962209</v>
      </c>
      <c r="F113">
        <f t="shared" si="3"/>
        <v>6.495670377915097E-5</v>
      </c>
    </row>
    <row r="114" spans="1:6" x14ac:dyDescent="0.25">
      <c r="A114" s="32">
        <v>0.29491200000000001</v>
      </c>
      <c r="B114" s="32">
        <v>1.08805</v>
      </c>
      <c r="E114" s="2">
        <f t="shared" si="2"/>
        <v>1.0879930374033531</v>
      </c>
      <c r="F114">
        <f t="shared" si="3"/>
        <v>5.6962596646892294E-5</v>
      </c>
    </row>
    <row r="115" spans="1:6" x14ac:dyDescent="0.25">
      <c r="A115" s="32">
        <v>0.32768000000000003</v>
      </c>
      <c r="B115" s="32">
        <v>1.08216</v>
      </c>
      <c r="E115" s="2">
        <f t="shared" si="2"/>
        <v>1.0821940138730128</v>
      </c>
      <c r="F115">
        <f t="shared" si="3"/>
        <v>-3.40138730128281E-5</v>
      </c>
    </row>
    <row r="116" spans="1:6" x14ac:dyDescent="0.25">
      <c r="A116" s="32">
        <v>0.36044799999999999</v>
      </c>
      <c r="B116" s="32">
        <v>1.0769299999999999</v>
      </c>
      <c r="E116" s="2">
        <f t="shared" si="2"/>
        <v>1.0770874084990942</v>
      </c>
      <c r="F116">
        <f t="shared" si="3"/>
        <v>-1.5740849909429144E-4</v>
      </c>
    </row>
    <row r="117" spans="1:6" x14ac:dyDescent="0.25">
      <c r="A117" s="32">
        <v>0.39321600000000001</v>
      </c>
      <c r="B117" s="32">
        <v>1.0723400000000001</v>
      </c>
      <c r="E117" s="2">
        <f t="shared" si="2"/>
        <v>1.0725564924771616</v>
      </c>
      <c r="F117">
        <f t="shared" si="3"/>
        <v>-2.1649247716148956E-4</v>
      </c>
    </row>
    <row r="118" spans="1:6" x14ac:dyDescent="0.25">
      <c r="A118" s="32">
        <v>0.42598399999999997</v>
      </c>
      <c r="B118" s="32">
        <v>1.0684100000000001</v>
      </c>
      <c r="E118" s="2">
        <f t="shared" si="2"/>
        <v>1.0685093735757754</v>
      </c>
      <c r="F118">
        <f t="shared" si="3"/>
        <v>-9.9373575775274503E-5</v>
      </c>
    </row>
    <row r="119" spans="1:6" x14ac:dyDescent="0.25">
      <c r="A119" s="32">
        <v>0.45875199999999999</v>
      </c>
      <c r="B119" s="32">
        <v>1.06453</v>
      </c>
      <c r="E119" s="2">
        <f t="shared" si="2"/>
        <v>1.0648727242365721</v>
      </c>
      <c r="F119">
        <f t="shared" si="3"/>
        <v>-3.4272423657211171E-4</v>
      </c>
    </row>
    <row r="120" spans="1:6" x14ac:dyDescent="0.25">
      <c r="A120" s="32">
        <v>0.49152000000000001</v>
      </c>
      <c r="B120" s="32">
        <v>1.06142</v>
      </c>
      <c r="E120" s="2">
        <f t="shared" si="2"/>
        <v>1.0615873188833089</v>
      </c>
      <c r="F120">
        <f t="shared" si="3"/>
        <v>-1.6731888330889788E-4</v>
      </c>
    </row>
    <row r="121" spans="1:6" x14ac:dyDescent="0.25">
      <c r="A121" s="32">
        <v>0.52428799999999998</v>
      </c>
      <c r="B121" s="32">
        <v>1.0585800000000001</v>
      </c>
      <c r="E121" s="2">
        <f t="shared" si="2"/>
        <v>1.058604799499163</v>
      </c>
      <c r="F121">
        <f t="shared" si="3"/>
        <v>-2.4799499162897476E-5</v>
      </c>
    </row>
    <row r="122" spans="1:6" x14ac:dyDescent="0.25">
      <c r="A122" s="32">
        <v>0.58982400000000001</v>
      </c>
      <c r="B122" s="32">
        <v>1.0533300000000001</v>
      </c>
      <c r="E122" s="2">
        <f t="shared" si="2"/>
        <v>1.0533956256572712</v>
      </c>
      <c r="F122">
        <f t="shared" si="3"/>
        <v>-6.5625657271084492E-5</v>
      </c>
    </row>
    <row r="123" spans="1:6" x14ac:dyDescent="0.25">
      <c r="A123" s="32">
        <v>0.65536000000000005</v>
      </c>
      <c r="B123" s="32">
        <v>1.0488900000000001</v>
      </c>
      <c r="E123" s="2">
        <f t="shared" si="2"/>
        <v>1.0489988425100698</v>
      </c>
      <c r="F123">
        <f t="shared" si="3"/>
        <v>-1.0884251006970658E-4</v>
      </c>
    </row>
    <row r="124" spans="1:6" x14ac:dyDescent="0.25">
      <c r="A124" s="32">
        <v>0.72089599999999998</v>
      </c>
      <c r="B124" s="32">
        <v>1.0452699999999999</v>
      </c>
      <c r="E124" s="2">
        <f t="shared" si="2"/>
        <v>1.0452389900879739</v>
      </c>
      <c r="F124">
        <f t="shared" si="3"/>
        <v>3.1009912025981023E-5</v>
      </c>
    </row>
    <row r="125" spans="1:6" x14ac:dyDescent="0.25">
      <c r="A125" s="32">
        <v>0.78643200000000002</v>
      </c>
      <c r="B125" s="32">
        <v>1.0421100000000001</v>
      </c>
      <c r="E125" s="2">
        <f t="shared" si="2"/>
        <v>1.0419877163354179</v>
      </c>
      <c r="F125">
        <f t="shared" si="3"/>
        <v>1.2228366458222339E-4</v>
      </c>
    </row>
    <row r="126" spans="1:6" x14ac:dyDescent="0.25">
      <c r="A126" s="32">
        <v>0.85196799999999995</v>
      </c>
      <c r="B126" s="32">
        <v>1.03966</v>
      </c>
      <c r="E126" s="2">
        <f t="shared" si="2"/>
        <v>1.0391489630611792</v>
      </c>
      <c r="F126">
        <f t="shared" si="3"/>
        <v>5.1103693882081913E-4</v>
      </c>
    </row>
    <row r="127" spans="1:6" x14ac:dyDescent="0.25">
      <c r="A127" s="32">
        <v>0.91750399999999999</v>
      </c>
      <c r="B127" s="32">
        <v>1.0369699999999999</v>
      </c>
      <c r="E127" s="2">
        <f t="shared" si="2"/>
        <v>1.0366494113379434</v>
      </c>
      <c r="F127">
        <f t="shared" si="3"/>
        <v>3.2058866205653125E-4</v>
      </c>
    </row>
    <row r="128" spans="1:6" x14ac:dyDescent="0.25">
      <c r="A128" s="32">
        <v>0.98304000000000002</v>
      </c>
      <c r="B128" s="32">
        <v>1.0347500000000001</v>
      </c>
      <c r="E128" s="2">
        <f t="shared" si="2"/>
        <v>1.0344321295781098</v>
      </c>
      <c r="F128">
        <f t="shared" si="3"/>
        <v>3.1787042189024284E-4</v>
      </c>
    </row>
    <row r="129" spans="1:6" x14ac:dyDescent="0.25">
      <c r="A129" s="32">
        <v>1.048576</v>
      </c>
      <c r="B129" s="32">
        <v>1.0327200000000001</v>
      </c>
      <c r="E129" s="2">
        <f t="shared" si="2"/>
        <v>1.0324522381064059</v>
      </c>
      <c r="F129">
        <f t="shared" si="3"/>
        <v>2.6776189359423164E-4</v>
      </c>
    </row>
    <row r="130" spans="1:6" x14ac:dyDescent="0.25">
      <c r="A130" s="32">
        <v>1.179648</v>
      </c>
      <c r="B130" s="32">
        <v>1.0287500000000001</v>
      </c>
      <c r="E130" s="2">
        <f t="shared" ref="E130:E193" si="4">$D$2+1/$D$3*($D$8/(1+A130/$D$4)/SQRT(1+A130/$D$4/$D$5/$D$5)+(1-$D$8)/(1+A130/$D$6)/SQRT(1+A130/$D$6/$D$7/$D$7))*(1+$D$9*EXP(-A130/$D$10)+$D$11*EXP(-A130/$D$12))</f>
        <v>1.0290680667334311</v>
      </c>
      <c r="F130">
        <f t="shared" ref="F130:F193" si="5">B130-E130</f>
        <v>-3.1806673343104386E-4</v>
      </c>
    </row>
    <row r="131" spans="1:6" x14ac:dyDescent="0.25">
      <c r="A131" s="32">
        <v>1.3107200000000001</v>
      </c>
      <c r="B131" s="32">
        <v>1.0259400000000001</v>
      </c>
      <c r="E131" s="2">
        <f t="shared" si="4"/>
        <v>1.026283432575275</v>
      </c>
      <c r="F131">
        <f t="shared" si="5"/>
        <v>-3.4343257527491566E-4</v>
      </c>
    </row>
    <row r="132" spans="1:6" x14ac:dyDescent="0.25">
      <c r="A132" s="32">
        <v>1.441792</v>
      </c>
      <c r="B132" s="32">
        <v>1.0236700000000001</v>
      </c>
      <c r="E132" s="2">
        <f t="shared" si="4"/>
        <v>1.0239534830257222</v>
      </c>
      <c r="F132">
        <f t="shared" si="5"/>
        <v>-2.8348302572211992E-4</v>
      </c>
    </row>
    <row r="133" spans="1:6" x14ac:dyDescent="0.25">
      <c r="A133" s="32">
        <v>1.572864</v>
      </c>
      <c r="B133" s="32">
        <v>1.02166</v>
      </c>
      <c r="E133" s="2">
        <f t="shared" si="4"/>
        <v>1.0219764687926536</v>
      </c>
      <c r="F133">
        <f t="shared" si="5"/>
        <v>-3.1646879265356809E-4</v>
      </c>
    </row>
    <row r="134" spans="1:6" x14ac:dyDescent="0.25">
      <c r="A134" s="32">
        <v>1.7039359999999999</v>
      </c>
      <c r="B134" s="32">
        <v>1.0198700000000001</v>
      </c>
      <c r="E134" s="2">
        <f t="shared" si="4"/>
        <v>1.0202788272770293</v>
      </c>
      <c r="F134">
        <f t="shared" si="5"/>
        <v>-4.0882727702928889E-4</v>
      </c>
    </row>
    <row r="135" spans="1:6" x14ac:dyDescent="0.25">
      <c r="A135" s="32">
        <v>1.835008</v>
      </c>
      <c r="B135" s="32">
        <v>1.01868</v>
      </c>
      <c r="E135" s="2">
        <f t="shared" si="4"/>
        <v>1.0188060590111516</v>
      </c>
      <c r="F135">
        <f t="shared" si="5"/>
        <v>-1.2605901115159135E-4</v>
      </c>
    </row>
    <row r="136" spans="1:6" x14ac:dyDescent="0.25">
      <c r="A136" s="32">
        <v>1.96608</v>
      </c>
      <c r="B136" s="32">
        <v>1.01763</v>
      </c>
      <c r="E136" s="2">
        <f t="shared" si="4"/>
        <v>1.0175169320003696</v>
      </c>
      <c r="F136">
        <f t="shared" si="5"/>
        <v>1.1306799963040071E-4</v>
      </c>
    </row>
    <row r="137" spans="1:6" x14ac:dyDescent="0.25">
      <c r="A137" s="32">
        <v>2.0971519999999999</v>
      </c>
      <c r="B137" s="32">
        <v>1.0166599999999999</v>
      </c>
      <c r="E137" s="2">
        <f t="shared" si="4"/>
        <v>1.0163796789737738</v>
      </c>
      <c r="F137">
        <f t="shared" si="5"/>
        <v>2.8032102622610466E-4</v>
      </c>
    </row>
    <row r="138" spans="1:6" x14ac:dyDescent="0.25">
      <c r="A138" s="32">
        <v>2.3592960000000001</v>
      </c>
      <c r="B138" s="32">
        <v>1.0146900000000001</v>
      </c>
      <c r="E138" s="2">
        <f t="shared" si="4"/>
        <v>1.014466445224713</v>
      </c>
      <c r="F138">
        <f t="shared" si="5"/>
        <v>2.2355477528712697E-4</v>
      </c>
    </row>
    <row r="139" spans="1:6" x14ac:dyDescent="0.25">
      <c r="A139" s="32">
        <v>2.6214400000000002</v>
      </c>
      <c r="B139" s="32">
        <v>1.0131600000000001</v>
      </c>
      <c r="E139" s="2">
        <f t="shared" si="4"/>
        <v>1.0129217315559378</v>
      </c>
      <c r="F139">
        <f t="shared" si="5"/>
        <v>2.3826844406227288E-4</v>
      </c>
    </row>
    <row r="140" spans="1:6" x14ac:dyDescent="0.25">
      <c r="A140" s="32">
        <v>2.8835839999999999</v>
      </c>
      <c r="B140" s="32">
        <v>1.0120199999999999</v>
      </c>
      <c r="E140" s="2">
        <f t="shared" si="4"/>
        <v>1.0116503656634224</v>
      </c>
      <c r="F140">
        <f t="shared" si="5"/>
        <v>3.6963433657755118E-4</v>
      </c>
    </row>
    <row r="141" spans="1:6" x14ac:dyDescent="0.25">
      <c r="A141" s="32">
        <v>3.1457280000000001</v>
      </c>
      <c r="B141" s="32">
        <v>1.0109399999999999</v>
      </c>
      <c r="E141" s="2">
        <f t="shared" si="4"/>
        <v>1.0105871822593586</v>
      </c>
      <c r="F141">
        <f t="shared" si="5"/>
        <v>3.5281774064133131E-4</v>
      </c>
    </row>
    <row r="142" spans="1:6" x14ac:dyDescent="0.25">
      <c r="A142" s="32">
        <v>3.4078719999999998</v>
      </c>
      <c r="B142" s="32">
        <v>1.0099100000000001</v>
      </c>
      <c r="E142" s="2">
        <f t="shared" si="4"/>
        <v>1.0096860799319423</v>
      </c>
      <c r="F142">
        <f t="shared" si="5"/>
        <v>2.2392006805782572E-4</v>
      </c>
    </row>
    <row r="143" spans="1:6" x14ac:dyDescent="0.25">
      <c r="A143" s="32">
        <v>3.6700159999999999</v>
      </c>
      <c r="B143" s="32">
        <v>1.0089900000000001</v>
      </c>
      <c r="E143" s="2">
        <f t="shared" si="4"/>
        <v>1.0089135387923471</v>
      </c>
      <c r="F143">
        <f t="shared" si="5"/>
        <v>7.6461207652922525E-5</v>
      </c>
    </row>
    <row r="144" spans="1:6" x14ac:dyDescent="0.25">
      <c r="A144" s="32">
        <v>3.9321600000000001</v>
      </c>
      <c r="B144" s="32">
        <v>1.0083899999999999</v>
      </c>
      <c r="E144" s="2">
        <f t="shared" si="4"/>
        <v>1.0082446128692393</v>
      </c>
      <c r="F144">
        <f t="shared" si="5"/>
        <v>1.4538713076062137E-4</v>
      </c>
    </row>
    <row r="145" spans="1:6" x14ac:dyDescent="0.25">
      <c r="A145" s="32">
        <v>4.1943039999999998</v>
      </c>
      <c r="B145" s="32">
        <v>1.0077400000000001</v>
      </c>
      <c r="E145" s="2">
        <f t="shared" si="4"/>
        <v>1.0076603612483768</v>
      </c>
      <c r="F145">
        <f t="shared" si="5"/>
        <v>7.9638751623312132E-5</v>
      </c>
    </row>
    <row r="146" spans="1:6" x14ac:dyDescent="0.25">
      <c r="A146" s="32">
        <v>4.7185920000000001</v>
      </c>
      <c r="B146" s="32">
        <v>1.00654</v>
      </c>
      <c r="E146" s="2">
        <f t="shared" si="4"/>
        <v>1.0066904965141605</v>
      </c>
      <c r="F146">
        <f t="shared" si="5"/>
        <v>-1.5049651416054743E-4</v>
      </c>
    </row>
    <row r="147" spans="1:6" x14ac:dyDescent="0.25">
      <c r="A147" s="32">
        <v>5.2428800000000004</v>
      </c>
      <c r="B147" s="32">
        <v>1.00549</v>
      </c>
      <c r="E147" s="2">
        <f t="shared" si="4"/>
        <v>1.0059201248014138</v>
      </c>
      <c r="F147">
        <f t="shared" si="5"/>
        <v>-4.3012480141380038E-4</v>
      </c>
    </row>
    <row r="148" spans="1:6" x14ac:dyDescent="0.25">
      <c r="A148" s="32">
        <v>5.7671679999999999</v>
      </c>
      <c r="B148" s="32">
        <v>1.00471</v>
      </c>
      <c r="E148" s="2">
        <f t="shared" si="4"/>
        <v>1.0052952126694792</v>
      </c>
      <c r="F148">
        <f t="shared" si="5"/>
        <v>-5.8521266947919592E-4</v>
      </c>
    </row>
    <row r="149" spans="1:6" x14ac:dyDescent="0.25">
      <c r="A149" s="32">
        <v>6.2914560000000002</v>
      </c>
      <c r="B149" s="32">
        <v>1.0043800000000001</v>
      </c>
      <c r="E149" s="2">
        <f t="shared" si="4"/>
        <v>1.0047794125632958</v>
      </c>
      <c r="F149">
        <f t="shared" si="5"/>
        <v>-3.9941256329578678E-4</v>
      </c>
    </row>
    <row r="150" spans="1:6" x14ac:dyDescent="0.25">
      <c r="A150" s="32">
        <v>6.8157439999999996</v>
      </c>
      <c r="B150" s="32">
        <v>1.0040199999999999</v>
      </c>
      <c r="E150" s="2">
        <f t="shared" si="4"/>
        <v>1.0043474077026009</v>
      </c>
      <c r="F150">
        <f t="shared" si="5"/>
        <v>-3.2740770260097918E-4</v>
      </c>
    </row>
    <row r="151" spans="1:6" x14ac:dyDescent="0.25">
      <c r="A151" s="32">
        <v>7.3400319999999999</v>
      </c>
      <c r="B151" s="32">
        <v>1.0035799999999999</v>
      </c>
      <c r="E151" s="2">
        <f t="shared" si="4"/>
        <v>1.0039810452814633</v>
      </c>
      <c r="F151">
        <f t="shared" si="5"/>
        <v>-4.010452814633414E-4</v>
      </c>
    </row>
    <row r="152" spans="1:6" x14ac:dyDescent="0.25">
      <c r="A152" s="32">
        <v>7.8643200000000002</v>
      </c>
      <c r="B152" s="32">
        <v>1.00339</v>
      </c>
      <c r="E152" s="2">
        <f t="shared" si="4"/>
        <v>1.0036669854670439</v>
      </c>
      <c r="F152">
        <f t="shared" si="5"/>
        <v>-2.7698546704391092E-4</v>
      </c>
    </row>
    <row r="153" spans="1:6" x14ac:dyDescent="0.25">
      <c r="A153" s="32">
        <v>8.3886079999999996</v>
      </c>
      <c r="B153" s="32">
        <v>1.0032099999999999</v>
      </c>
      <c r="E153" s="2">
        <f t="shared" si="4"/>
        <v>1.0033952163976034</v>
      </c>
      <c r="F153">
        <f t="shared" si="5"/>
        <v>-1.8521639760349373E-4</v>
      </c>
    </row>
    <row r="154" spans="1:6" x14ac:dyDescent="0.25">
      <c r="A154" s="32">
        <v>9.4371840000000002</v>
      </c>
      <c r="B154" s="32">
        <v>1.0028300000000001</v>
      </c>
      <c r="E154" s="2">
        <f t="shared" si="4"/>
        <v>1.0029496472784425</v>
      </c>
      <c r="F154">
        <f t="shared" si="5"/>
        <v>-1.1964727844238077E-4</v>
      </c>
    </row>
    <row r="155" spans="1:6" x14ac:dyDescent="0.25">
      <c r="A155" s="32">
        <v>10.485760000000001</v>
      </c>
      <c r="B155" s="32">
        <v>1.00298</v>
      </c>
      <c r="E155" s="2">
        <f t="shared" si="4"/>
        <v>1.0026010654157604</v>
      </c>
      <c r="F155">
        <f t="shared" si="5"/>
        <v>3.7893458423954307E-4</v>
      </c>
    </row>
    <row r="156" spans="1:6" x14ac:dyDescent="0.25">
      <c r="A156" s="32">
        <v>11.534336</v>
      </c>
      <c r="B156" s="32">
        <v>1.00237</v>
      </c>
      <c r="E156" s="2">
        <f t="shared" si="4"/>
        <v>1.0023220741167649</v>
      </c>
      <c r="F156">
        <f t="shared" si="5"/>
        <v>4.7925883235100386E-5</v>
      </c>
    </row>
    <row r="157" spans="1:6" x14ac:dyDescent="0.25">
      <c r="A157" s="32">
        <v>12.582912</v>
      </c>
      <c r="B157" s="32">
        <v>1.00227</v>
      </c>
      <c r="E157" s="2">
        <f t="shared" si="4"/>
        <v>1.0020945379802448</v>
      </c>
      <c r="F157">
        <f t="shared" si="5"/>
        <v>1.7546201975515707E-4</v>
      </c>
    </row>
    <row r="158" spans="1:6" x14ac:dyDescent="0.25">
      <c r="A158" s="32">
        <v>13.631487999999999</v>
      </c>
      <c r="B158" s="32">
        <v>1.00247</v>
      </c>
      <c r="E158" s="2">
        <f t="shared" si="4"/>
        <v>1.001906007464485</v>
      </c>
      <c r="F158">
        <f t="shared" si="5"/>
        <v>5.6399253551497885E-4</v>
      </c>
    </row>
    <row r="159" spans="1:6" x14ac:dyDescent="0.25">
      <c r="A159" s="32">
        <v>14.680064</v>
      </c>
      <c r="B159" s="32">
        <v>1.00227</v>
      </c>
      <c r="E159" s="2">
        <f t="shared" si="4"/>
        <v>1.0017476732864903</v>
      </c>
      <c r="F159">
        <f t="shared" si="5"/>
        <v>5.2232671350971316E-4</v>
      </c>
    </row>
    <row r="160" spans="1:6" x14ac:dyDescent="0.25">
      <c r="A160" s="32">
        <v>15.72864</v>
      </c>
      <c r="B160" s="32">
        <v>1.00196</v>
      </c>
      <c r="E160" s="2">
        <f t="shared" si="4"/>
        <v>1.0016131399770916</v>
      </c>
      <c r="F160">
        <f t="shared" si="5"/>
        <v>3.4686002290840179E-4</v>
      </c>
    </row>
    <row r="161" spans="1:6" x14ac:dyDescent="0.25">
      <c r="A161" s="32">
        <v>16.777215999999999</v>
      </c>
      <c r="B161" s="32">
        <v>1.00197</v>
      </c>
      <c r="E161" s="2">
        <f t="shared" si="4"/>
        <v>1.001497661071763</v>
      </c>
      <c r="F161">
        <f t="shared" si="5"/>
        <v>4.7233892823705936E-4</v>
      </c>
    </row>
    <row r="162" spans="1:6" x14ac:dyDescent="0.25">
      <c r="A162" s="32">
        <v>18.874368</v>
      </c>
      <c r="B162" s="32">
        <v>1.0014099999999999</v>
      </c>
      <c r="E162" s="2">
        <f t="shared" si="4"/>
        <v>1.0013103322791994</v>
      </c>
      <c r="F162">
        <f t="shared" si="5"/>
        <v>9.9667720800500348E-5</v>
      </c>
    </row>
    <row r="163" spans="1:6" x14ac:dyDescent="0.25">
      <c r="A163" s="32">
        <v>20.971520000000002</v>
      </c>
      <c r="B163" s="32">
        <v>1.00135</v>
      </c>
      <c r="E163" s="2">
        <f t="shared" si="4"/>
        <v>1.0011656332474563</v>
      </c>
      <c r="F163">
        <f t="shared" si="5"/>
        <v>1.8436675254362989E-4</v>
      </c>
    </row>
    <row r="164" spans="1:6" x14ac:dyDescent="0.25">
      <c r="A164" s="32">
        <v>23.068671999999999</v>
      </c>
      <c r="B164" s="32">
        <v>1.0012000000000001</v>
      </c>
      <c r="E164" s="2">
        <f t="shared" si="4"/>
        <v>1.0010510849962924</v>
      </c>
      <c r="F164">
        <f t="shared" si="5"/>
        <v>1.4891500370772803E-4</v>
      </c>
    </row>
    <row r="165" spans="1:6" x14ac:dyDescent="0.25">
      <c r="A165" s="32">
        <v>25.165824000000001</v>
      </c>
      <c r="B165" s="32">
        <v>1.0014099999999999</v>
      </c>
      <c r="E165" s="2">
        <f t="shared" si="4"/>
        <v>1.0009585513054358</v>
      </c>
      <c r="F165">
        <f t="shared" si="5"/>
        <v>4.5144869456414938E-4</v>
      </c>
    </row>
    <row r="166" spans="1:6" x14ac:dyDescent="0.25">
      <c r="A166" s="32">
        <v>27.262975999999998</v>
      </c>
      <c r="B166" s="32">
        <v>1.0014099999999999</v>
      </c>
      <c r="E166" s="2">
        <f t="shared" si="4"/>
        <v>1.0008825213798402</v>
      </c>
      <c r="F166">
        <f t="shared" si="5"/>
        <v>5.2747862015967151E-4</v>
      </c>
    </row>
    <row r="167" spans="1:6" x14ac:dyDescent="0.25">
      <c r="A167" s="32">
        <v>29.360128</v>
      </c>
      <c r="B167" s="32">
        <v>1.00136</v>
      </c>
      <c r="E167" s="2">
        <f t="shared" si="4"/>
        <v>1.0008191422738759</v>
      </c>
      <c r="F167">
        <f t="shared" si="5"/>
        <v>5.4085772612411098E-4</v>
      </c>
    </row>
    <row r="168" spans="1:6" x14ac:dyDescent="0.25">
      <c r="A168" s="32">
        <v>31.457280000000001</v>
      </c>
      <c r="B168" s="32">
        <v>1.00088</v>
      </c>
      <c r="E168" s="2">
        <f t="shared" si="4"/>
        <v>1.0007656467597488</v>
      </c>
      <c r="F168">
        <f t="shared" si="5"/>
        <v>1.1435324025121929E-4</v>
      </c>
    </row>
    <row r="169" spans="1:6" x14ac:dyDescent="0.25">
      <c r="A169" s="32">
        <v>33.554431999999998</v>
      </c>
      <c r="B169" s="32">
        <v>1.00084</v>
      </c>
      <c r="E169" s="2">
        <f t="shared" si="4"/>
        <v>1.0007200010095998</v>
      </c>
      <c r="F169">
        <f t="shared" si="5"/>
        <v>1.1999899040016082E-4</v>
      </c>
    </row>
    <row r="170" spans="1:6" x14ac:dyDescent="0.25">
      <c r="A170" s="32">
        <v>37.748736000000001</v>
      </c>
      <c r="B170" s="32">
        <v>1.00044</v>
      </c>
      <c r="E170" s="2">
        <f t="shared" si="4"/>
        <v>1.0006465199662093</v>
      </c>
      <c r="F170">
        <f t="shared" si="5"/>
        <v>-2.0651996620935087E-4</v>
      </c>
    </row>
    <row r="171" spans="1:6" x14ac:dyDescent="0.25">
      <c r="A171" s="32">
        <v>41.943040000000003</v>
      </c>
      <c r="B171" s="32">
        <v>1.00061</v>
      </c>
      <c r="E171" s="2">
        <f t="shared" si="4"/>
        <v>1.0005902682824661</v>
      </c>
      <c r="F171">
        <f t="shared" si="5"/>
        <v>1.9731717533888471E-5</v>
      </c>
    </row>
    <row r="172" spans="1:6" x14ac:dyDescent="0.25">
      <c r="A172" s="32">
        <v>46.137343999999999</v>
      </c>
      <c r="B172" s="32">
        <v>1.00021</v>
      </c>
      <c r="E172" s="2">
        <f t="shared" si="4"/>
        <v>1.0005460725000557</v>
      </c>
      <c r="F172">
        <f t="shared" si="5"/>
        <v>-3.3607250005562861E-4</v>
      </c>
    </row>
    <row r="173" spans="1:6" x14ac:dyDescent="0.25">
      <c r="A173" s="32">
        <v>50.331648000000001</v>
      </c>
      <c r="B173" s="32">
        <v>1.0002800000000001</v>
      </c>
      <c r="E173" s="2">
        <f t="shared" si="4"/>
        <v>1.0005105993998249</v>
      </c>
      <c r="F173">
        <f t="shared" si="5"/>
        <v>-2.305993998248379E-4</v>
      </c>
    </row>
    <row r="174" spans="1:6" x14ac:dyDescent="0.25">
      <c r="A174" s="32">
        <v>54.525951999999997</v>
      </c>
      <c r="B174" s="32">
        <v>0.99960000000000004</v>
      </c>
      <c r="E174" s="2">
        <f t="shared" si="4"/>
        <v>1.0004816142984392</v>
      </c>
      <c r="F174">
        <f t="shared" si="5"/>
        <v>-8.816142984391373E-4</v>
      </c>
    </row>
    <row r="175" spans="1:6" x14ac:dyDescent="0.25">
      <c r="A175" s="32">
        <v>58.720255999999999</v>
      </c>
      <c r="B175" s="32">
        <v>1.0005599999999999</v>
      </c>
      <c r="E175" s="2">
        <f t="shared" si="4"/>
        <v>1.0004575686146231</v>
      </c>
      <c r="F175">
        <f t="shared" si="5"/>
        <v>1.0243138537679997E-4</v>
      </c>
    </row>
    <row r="176" spans="1:6" x14ac:dyDescent="0.25">
      <c r="A176" s="32">
        <v>62.914560000000002</v>
      </c>
      <c r="B176" s="32">
        <v>1.0004599999999999</v>
      </c>
      <c r="E176" s="2">
        <f t="shared" si="4"/>
        <v>1.0004373587848256</v>
      </c>
      <c r="F176">
        <f t="shared" si="5"/>
        <v>2.2641215174257212E-5</v>
      </c>
    </row>
    <row r="177" spans="1:6" x14ac:dyDescent="0.25">
      <c r="A177" s="32">
        <v>67.108863999999997</v>
      </c>
      <c r="B177" s="32">
        <v>1.00024</v>
      </c>
      <c r="E177" s="2">
        <f t="shared" si="4"/>
        <v>1.0004201793046188</v>
      </c>
      <c r="F177">
        <f t="shared" si="5"/>
        <v>-1.8017930461877718E-4</v>
      </c>
    </row>
    <row r="178" spans="1:6" x14ac:dyDescent="0.25">
      <c r="A178" s="32">
        <v>75.497472000000002</v>
      </c>
      <c r="B178" s="32">
        <v>1.0002</v>
      </c>
      <c r="E178" s="2">
        <f t="shared" si="4"/>
        <v>1.0003926549735258</v>
      </c>
      <c r="F178">
        <f t="shared" si="5"/>
        <v>-1.9265497352582983E-4</v>
      </c>
    </row>
    <row r="179" spans="1:6" x14ac:dyDescent="0.25">
      <c r="A179" s="32">
        <v>83.886080000000007</v>
      </c>
      <c r="B179" s="32">
        <v>1.0000100000000001</v>
      </c>
      <c r="E179" s="2">
        <f t="shared" si="4"/>
        <v>1.0003716998797121</v>
      </c>
      <c r="F179">
        <f t="shared" si="5"/>
        <v>-3.6169987971201856E-4</v>
      </c>
    </row>
    <row r="180" spans="1:6" x14ac:dyDescent="0.25">
      <c r="A180" s="32">
        <v>92.274687999999998</v>
      </c>
      <c r="B180" s="32">
        <v>1.00034</v>
      </c>
      <c r="E180" s="2">
        <f t="shared" si="4"/>
        <v>1.0003553104588498</v>
      </c>
      <c r="F180">
        <f t="shared" si="5"/>
        <v>-1.5310458849837616E-5</v>
      </c>
    </row>
    <row r="181" spans="1:6" x14ac:dyDescent="0.25">
      <c r="A181" s="32">
        <v>100.663296</v>
      </c>
      <c r="B181" s="32">
        <v>1.0001100000000001</v>
      </c>
      <c r="E181" s="2">
        <f t="shared" si="4"/>
        <v>1.0003422057795688</v>
      </c>
      <c r="F181">
        <f t="shared" si="5"/>
        <v>-2.3220577956872823E-4</v>
      </c>
    </row>
    <row r="182" spans="1:6" x14ac:dyDescent="0.25">
      <c r="A182" s="32">
        <v>109.05190399999999</v>
      </c>
      <c r="B182" s="32">
        <v>1.0000199999999999</v>
      </c>
      <c r="E182" s="2">
        <f t="shared" si="4"/>
        <v>1.0003315326465378</v>
      </c>
      <c r="F182">
        <f t="shared" si="5"/>
        <v>-3.1153264653793755E-4</v>
      </c>
    </row>
    <row r="183" spans="1:6" x14ac:dyDescent="0.25">
      <c r="A183" s="32">
        <v>117.440512</v>
      </c>
      <c r="B183" s="32">
        <v>1.0003500000000001</v>
      </c>
      <c r="E183" s="2">
        <f t="shared" si="4"/>
        <v>1.000322703096409</v>
      </c>
      <c r="F183">
        <f t="shared" si="5"/>
        <v>2.7296903591045307E-5</v>
      </c>
    </row>
    <row r="184" spans="1:6" x14ac:dyDescent="0.25">
      <c r="A184" s="32">
        <v>125.82912</v>
      </c>
      <c r="B184" s="32">
        <v>1.00034</v>
      </c>
      <c r="E184" s="2">
        <f t="shared" si="4"/>
        <v>1.0003153001391467</v>
      </c>
      <c r="F184">
        <f t="shared" si="5"/>
        <v>2.4699860853294453E-5</v>
      </c>
    </row>
    <row r="185" spans="1:6" x14ac:dyDescent="0.25">
      <c r="A185" s="32">
        <v>134.21772799999999</v>
      </c>
      <c r="B185" s="32">
        <v>1.00023</v>
      </c>
      <c r="E185" s="2">
        <f t="shared" si="4"/>
        <v>1.0003090206833525</v>
      </c>
      <c r="F185">
        <f t="shared" si="5"/>
        <v>-7.9020683352526433E-5</v>
      </c>
    </row>
    <row r="186" spans="1:6" x14ac:dyDescent="0.25">
      <c r="A186" s="32">
        <v>150.994944</v>
      </c>
      <c r="B186" s="32">
        <v>1.00023</v>
      </c>
      <c r="E186" s="2">
        <f t="shared" si="4"/>
        <v>1.0002989869328596</v>
      </c>
      <c r="F186">
        <f t="shared" si="5"/>
        <v>-6.898693285961599E-5</v>
      </c>
    </row>
    <row r="187" spans="1:6" x14ac:dyDescent="0.25">
      <c r="A187" s="32">
        <v>167.77216000000001</v>
      </c>
      <c r="B187" s="32">
        <v>1.00058</v>
      </c>
      <c r="E187" s="2">
        <f t="shared" si="4"/>
        <v>1.0002913713456472</v>
      </c>
      <c r="F187">
        <f t="shared" si="5"/>
        <v>2.8862865435286267E-4</v>
      </c>
    </row>
    <row r="188" spans="1:6" x14ac:dyDescent="0.25">
      <c r="A188" s="32">
        <v>184.549376</v>
      </c>
      <c r="B188" s="32">
        <v>1.00003</v>
      </c>
      <c r="E188" s="2">
        <f t="shared" si="4"/>
        <v>1.0002854299536852</v>
      </c>
      <c r="F188">
        <f t="shared" si="5"/>
        <v>-2.5542995368521559E-4</v>
      </c>
    </row>
    <row r="189" spans="1:6" x14ac:dyDescent="0.25">
      <c r="A189" s="32">
        <v>201.32659200000001</v>
      </c>
      <c r="B189" s="32">
        <v>1.0003599999999999</v>
      </c>
      <c r="E189" s="2">
        <f t="shared" si="4"/>
        <v>1.0002806892365346</v>
      </c>
      <c r="F189">
        <f t="shared" si="5"/>
        <v>7.9310763465345602E-5</v>
      </c>
    </row>
    <row r="190" spans="1:6" x14ac:dyDescent="0.25">
      <c r="A190" s="32">
        <v>218.10380799999999</v>
      </c>
      <c r="B190" s="32">
        <v>1.00037</v>
      </c>
      <c r="E190" s="2">
        <f t="shared" si="4"/>
        <v>1.0002768349626254</v>
      </c>
      <c r="F190">
        <f t="shared" si="5"/>
        <v>9.3165037374554061E-5</v>
      </c>
    </row>
    <row r="191" spans="1:6" x14ac:dyDescent="0.25">
      <c r="A191" s="32">
        <v>234.881024</v>
      </c>
      <c r="B191" s="32">
        <v>1.0003299999999999</v>
      </c>
      <c r="E191" s="2">
        <f t="shared" si="4"/>
        <v>1.0002736512631603</v>
      </c>
      <c r="F191">
        <f t="shared" si="5"/>
        <v>5.6348736839684221E-5</v>
      </c>
    </row>
    <row r="192" spans="1:6" x14ac:dyDescent="0.25">
      <c r="A192" s="32">
        <v>251.65824000000001</v>
      </c>
      <c r="B192" s="32">
        <v>1.00023</v>
      </c>
      <c r="E192" s="2">
        <f t="shared" si="4"/>
        <v>1.0002709854521934</v>
      </c>
      <c r="F192">
        <f t="shared" si="5"/>
        <v>-4.098545219344274E-5</v>
      </c>
    </row>
    <row r="193" spans="1:6" x14ac:dyDescent="0.25">
      <c r="A193" s="32">
        <v>268.43545599999999</v>
      </c>
      <c r="B193" s="32">
        <v>1.0000899999999999</v>
      </c>
      <c r="E193" s="2">
        <f t="shared" si="4"/>
        <v>1.0002687268070094</v>
      </c>
      <c r="F193">
        <f t="shared" si="5"/>
        <v>-1.7872680700947718E-4</v>
      </c>
    </row>
    <row r="194" spans="1:6" x14ac:dyDescent="0.25">
      <c r="A194" s="32">
        <v>301.98988800000001</v>
      </c>
      <c r="B194" s="32">
        <v>1.00017</v>
      </c>
      <c r="E194" s="2">
        <f t="shared" ref="E194:E238" si="6">$D$2+1/$D$3*($D$8/(1+A194/$D$4)/SQRT(1+A194/$D$4/$D$5/$D$5)+(1-$D$8)/(1+A194/$D$6)/SQRT(1+A194/$D$6/$D$7/$D$7))*(1+$D$9*EXP(-A194/$D$10)+$D$11*EXP(-A194/$D$12))</f>
        <v>1.0002651229396469</v>
      </c>
      <c r="F194">
        <f t="shared" ref="F194:F238" si="7">B194-E194</f>
        <v>-9.5122939646863358E-5</v>
      </c>
    </row>
    <row r="195" spans="1:6" x14ac:dyDescent="0.25">
      <c r="A195" s="32">
        <v>335.54432000000003</v>
      </c>
      <c r="B195" s="32">
        <v>1.0002599999999999</v>
      </c>
      <c r="E195" s="2">
        <f t="shared" si="6"/>
        <v>1.0002623920573082</v>
      </c>
      <c r="F195">
        <f t="shared" si="7"/>
        <v>-2.3920573082314434E-6</v>
      </c>
    </row>
    <row r="196" spans="1:6" x14ac:dyDescent="0.25">
      <c r="A196" s="32">
        <v>369.09875199999999</v>
      </c>
      <c r="B196" s="32">
        <v>1.0001199999999999</v>
      </c>
      <c r="E196" s="2">
        <f t="shared" si="6"/>
        <v>1.0002602643390448</v>
      </c>
      <c r="F196">
        <f t="shared" si="7"/>
        <v>-1.4026433904490432E-4</v>
      </c>
    </row>
    <row r="197" spans="1:6" x14ac:dyDescent="0.25">
      <c r="A197" s="32">
        <v>402.65318400000001</v>
      </c>
      <c r="B197" s="32">
        <v>1.0002599999999999</v>
      </c>
      <c r="E197" s="2">
        <f t="shared" si="6"/>
        <v>1.0002585684615706</v>
      </c>
      <c r="F197">
        <f t="shared" si="7"/>
        <v>1.431538429352841E-6</v>
      </c>
    </row>
    <row r="198" spans="1:6" x14ac:dyDescent="0.25">
      <c r="A198" s="32">
        <v>436.20761599999997</v>
      </c>
      <c r="B198" s="32">
        <v>1.00013</v>
      </c>
      <c r="E198" s="2">
        <f t="shared" si="6"/>
        <v>1.0002571909589444</v>
      </c>
      <c r="F198">
        <f t="shared" si="7"/>
        <v>-1.2719095894442312E-4</v>
      </c>
    </row>
    <row r="199" spans="1:6" x14ac:dyDescent="0.25">
      <c r="A199" s="32">
        <v>469.76204799999999</v>
      </c>
      <c r="B199" s="32">
        <v>1.0001800000000001</v>
      </c>
      <c r="E199" s="2">
        <f t="shared" si="6"/>
        <v>1.0002560540129395</v>
      </c>
      <c r="F199">
        <f t="shared" si="7"/>
        <v>-7.605401293941938E-5</v>
      </c>
    </row>
    <row r="200" spans="1:6" x14ac:dyDescent="0.25">
      <c r="A200" s="32">
        <v>503.31648000000001</v>
      </c>
      <c r="B200" s="32">
        <v>1.0005500000000001</v>
      </c>
      <c r="E200" s="2">
        <f t="shared" si="6"/>
        <v>1.0002551026602065</v>
      </c>
      <c r="F200">
        <f t="shared" si="7"/>
        <v>2.9489733979359833E-4</v>
      </c>
    </row>
    <row r="201" spans="1:6" x14ac:dyDescent="0.25">
      <c r="A201" s="32">
        <v>536.87091199999998</v>
      </c>
      <c r="B201" s="32">
        <v>1.00021</v>
      </c>
      <c r="E201" s="2">
        <f t="shared" si="6"/>
        <v>1.0002542970920207</v>
      </c>
      <c r="F201">
        <f t="shared" si="7"/>
        <v>-4.4297092020695317E-5</v>
      </c>
    </row>
    <row r="202" spans="1:6" x14ac:dyDescent="0.25">
      <c r="A202" s="32">
        <v>603.97977600000002</v>
      </c>
      <c r="B202" s="32">
        <v>1.00021</v>
      </c>
      <c r="E202" s="2">
        <f t="shared" si="6"/>
        <v>1.0002530126849509</v>
      </c>
      <c r="F202">
        <f t="shared" si="7"/>
        <v>-4.3012684950882729E-5</v>
      </c>
    </row>
    <row r="203" spans="1:6" x14ac:dyDescent="0.25">
      <c r="A203" s="32">
        <v>671.08864000000005</v>
      </c>
      <c r="B203" s="32">
        <v>1.0001100000000001</v>
      </c>
      <c r="E203" s="2">
        <f t="shared" si="6"/>
        <v>1.0002520402213457</v>
      </c>
      <c r="F203">
        <f t="shared" si="7"/>
        <v>-1.4204022134567396E-4</v>
      </c>
    </row>
    <row r="204" spans="1:6" x14ac:dyDescent="0.25">
      <c r="A204" s="32">
        <v>738.19750399999998</v>
      </c>
      <c r="B204" s="32">
        <v>1.0002800000000001</v>
      </c>
      <c r="E204" s="2">
        <f t="shared" si="6"/>
        <v>1.0002512830573909</v>
      </c>
      <c r="F204">
        <f t="shared" si="7"/>
        <v>2.8716942609197105E-5</v>
      </c>
    </row>
    <row r="205" spans="1:6" x14ac:dyDescent="0.25">
      <c r="A205" s="32">
        <v>805.30636800000002</v>
      </c>
      <c r="B205" s="32">
        <v>1.00041</v>
      </c>
      <c r="E205" s="2">
        <f t="shared" si="6"/>
        <v>1.0002506799054591</v>
      </c>
      <c r="F205">
        <f t="shared" si="7"/>
        <v>1.5932009454089346E-4</v>
      </c>
    </row>
    <row r="206" spans="1:6" x14ac:dyDescent="0.25">
      <c r="A206" s="32">
        <v>872.41523199999995</v>
      </c>
      <c r="B206" s="32">
        <v>1.00024</v>
      </c>
      <c r="E206" s="2">
        <f t="shared" si="6"/>
        <v>1.0002501902169461</v>
      </c>
      <c r="F206">
        <f t="shared" si="7"/>
        <v>-1.0190216946037722E-5</v>
      </c>
    </row>
    <row r="207" spans="1:6" x14ac:dyDescent="0.25">
      <c r="A207" s="32">
        <v>939.52409599999999</v>
      </c>
      <c r="B207" s="32">
        <v>1.00023</v>
      </c>
      <c r="E207" s="2">
        <f t="shared" si="6"/>
        <v>1.000249786206362</v>
      </c>
      <c r="F207">
        <f t="shared" si="7"/>
        <v>-1.9786206362004677E-5</v>
      </c>
    </row>
    <row r="208" spans="1:6" x14ac:dyDescent="0.25">
      <c r="A208" s="32">
        <v>1006.63296</v>
      </c>
      <c r="B208" s="32">
        <v>1.0003500000000001</v>
      </c>
      <c r="E208" s="2">
        <f t="shared" si="6"/>
        <v>1.0002494482630473</v>
      </c>
      <c r="F208">
        <f t="shared" si="7"/>
        <v>1.0055173695278086E-4</v>
      </c>
    </row>
    <row r="209" spans="1:6" x14ac:dyDescent="0.25">
      <c r="A209" s="32">
        <v>1073.741824</v>
      </c>
      <c r="B209" s="32">
        <v>1.00051</v>
      </c>
      <c r="E209" s="2">
        <f t="shared" si="6"/>
        <v>1.0002491621923839</v>
      </c>
      <c r="F209">
        <f t="shared" si="7"/>
        <v>2.6083780761609887E-4</v>
      </c>
    </row>
    <row r="210" spans="1:6" x14ac:dyDescent="0.25">
      <c r="A210" s="32">
        <v>1207.959552</v>
      </c>
      <c r="B210" s="32">
        <v>1.00041</v>
      </c>
      <c r="E210" s="2">
        <f t="shared" si="6"/>
        <v>1.0002487062490537</v>
      </c>
      <c r="F210">
        <f t="shared" si="7"/>
        <v>1.6129375094631193E-4</v>
      </c>
    </row>
    <row r="211" spans="1:6" x14ac:dyDescent="0.25">
      <c r="A211" s="32">
        <v>1342.1772800000001</v>
      </c>
      <c r="B211" s="32">
        <v>1.00038</v>
      </c>
      <c r="E211" s="2">
        <f t="shared" si="6"/>
        <v>1.0002483611871271</v>
      </c>
      <c r="F211">
        <f t="shared" si="7"/>
        <v>1.3163881287292512E-4</v>
      </c>
    </row>
    <row r="212" spans="1:6" x14ac:dyDescent="0.25">
      <c r="A212" s="32">
        <v>1476.395008</v>
      </c>
      <c r="B212" s="32">
        <v>1.0005200000000001</v>
      </c>
      <c r="E212" s="2">
        <f t="shared" si="6"/>
        <v>1.0002480926128914</v>
      </c>
      <c r="F212">
        <f t="shared" si="7"/>
        <v>2.7190738710869411E-4</v>
      </c>
    </row>
    <row r="213" spans="1:6" x14ac:dyDescent="0.25">
      <c r="A213" s="32">
        <v>1610.612736</v>
      </c>
      <c r="B213" s="32">
        <v>1.00074</v>
      </c>
      <c r="E213" s="2">
        <f t="shared" si="6"/>
        <v>1.0002478787291034</v>
      </c>
      <c r="F213">
        <f t="shared" si="7"/>
        <v>4.9212127089659496E-4</v>
      </c>
    </row>
    <row r="214" spans="1:6" x14ac:dyDescent="0.25">
      <c r="A214" s="32">
        <v>1744.8304639999999</v>
      </c>
      <c r="B214" s="32">
        <v>1.00081</v>
      </c>
      <c r="E214" s="2">
        <f t="shared" si="6"/>
        <v>1.0002477051219865</v>
      </c>
      <c r="F214">
        <f t="shared" si="7"/>
        <v>5.6229487801351397E-4</v>
      </c>
    </row>
    <row r="215" spans="1:6" x14ac:dyDescent="0.25">
      <c r="A215" s="32">
        <v>1879.048192</v>
      </c>
      <c r="B215" s="32">
        <v>1.0008699999999999</v>
      </c>
      <c r="E215" s="2">
        <f t="shared" si="6"/>
        <v>1.000247561918973</v>
      </c>
      <c r="F215">
        <f t="shared" si="7"/>
        <v>6.2243808102691034E-4</v>
      </c>
    </row>
    <row r="216" spans="1:6" x14ac:dyDescent="0.25">
      <c r="A216" s="32">
        <v>2013.2659200000001</v>
      </c>
      <c r="B216" s="32">
        <v>1.00101</v>
      </c>
      <c r="E216" s="2">
        <f t="shared" si="6"/>
        <v>1.0002474421547114</v>
      </c>
      <c r="F216">
        <f t="shared" si="7"/>
        <v>7.6255784528855841E-4</v>
      </c>
    </row>
    <row r="217" spans="1:6" x14ac:dyDescent="0.25">
      <c r="A217" s="32">
        <v>2147.4836479999999</v>
      </c>
      <c r="B217" s="32">
        <v>1.00082</v>
      </c>
      <c r="E217" s="2">
        <f t="shared" si="6"/>
        <v>1.0002473407891381</v>
      </c>
      <c r="F217">
        <f t="shared" si="7"/>
        <v>5.726592108619144E-4</v>
      </c>
    </row>
    <row r="218" spans="1:6" x14ac:dyDescent="0.25">
      <c r="A218" s="32">
        <v>2415.9191040000001</v>
      </c>
      <c r="B218" s="32">
        <v>1.00101</v>
      </c>
      <c r="E218" s="2">
        <f t="shared" si="6"/>
        <v>1.0002471792618379</v>
      </c>
      <c r="F218">
        <f t="shared" si="7"/>
        <v>7.6282073816202889E-4</v>
      </c>
    </row>
    <row r="219" spans="1:6" x14ac:dyDescent="0.25">
      <c r="A219" s="32">
        <v>2684.3545600000002</v>
      </c>
      <c r="B219" s="32">
        <v>1.0012300000000001</v>
      </c>
      <c r="E219" s="2">
        <f t="shared" si="6"/>
        <v>1.0002470570427131</v>
      </c>
      <c r="F219">
        <f t="shared" si="7"/>
        <v>9.8294295728695857E-4</v>
      </c>
    </row>
    <row r="220" spans="1:6" x14ac:dyDescent="0.25">
      <c r="A220" s="32">
        <v>2952.7900159999999</v>
      </c>
      <c r="B220" s="32">
        <v>1.00115</v>
      </c>
      <c r="E220" s="2">
        <f t="shared" si="6"/>
        <v>1.0002469619315848</v>
      </c>
      <c r="F220">
        <f t="shared" si="7"/>
        <v>9.0303806841518508E-4</v>
      </c>
    </row>
    <row r="221" spans="1:6" x14ac:dyDescent="0.25">
      <c r="A221" s="32">
        <v>3221.2254720000001</v>
      </c>
      <c r="B221" s="32">
        <v>1.0012000000000001</v>
      </c>
      <c r="E221" s="2">
        <f t="shared" si="6"/>
        <v>1.0002468861989897</v>
      </c>
      <c r="F221">
        <f t="shared" si="7"/>
        <v>9.5311380101037457E-4</v>
      </c>
    </row>
    <row r="222" spans="1:6" x14ac:dyDescent="0.25">
      <c r="A222" s="32">
        <v>3489.6609279999998</v>
      </c>
      <c r="B222" s="32">
        <v>1.00129</v>
      </c>
      <c r="E222" s="2">
        <f t="shared" si="6"/>
        <v>1.000246824735044</v>
      </c>
      <c r="F222">
        <f t="shared" si="7"/>
        <v>1.0431752649560089E-3</v>
      </c>
    </row>
    <row r="223" spans="1:6" x14ac:dyDescent="0.25">
      <c r="A223" s="32">
        <v>3758.0963839999999</v>
      </c>
      <c r="B223" s="32">
        <v>1.00125</v>
      </c>
      <c r="E223" s="2">
        <f t="shared" si="6"/>
        <v>1.0002467740405558</v>
      </c>
      <c r="F223">
        <f t="shared" si="7"/>
        <v>1.0032259594441317E-3</v>
      </c>
    </row>
    <row r="224" spans="1:6" x14ac:dyDescent="0.25">
      <c r="A224" s="32">
        <v>4026.5318400000001</v>
      </c>
      <c r="B224" s="32">
        <v>1.0014099999999999</v>
      </c>
      <c r="E224" s="2">
        <f t="shared" si="6"/>
        <v>1.0002467316472166</v>
      </c>
      <c r="F224">
        <f t="shared" si="7"/>
        <v>1.1632683527833532E-3</v>
      </c>
    </row>
    <row r="225" spans="1:6" x14ac:dyDescent="0.25">
      <c r="A225" s="32">
        <v>4294.9672959999998</v>
      </c>
      <c r="B225" s="32">
        <v>1.0016</v>
      </c>
      <c r="E225" s="2">
        <f t="shared" si="6"/>
        <v>1.0002466957692677</v>
      </c>
      <c r="F225">
        <f t="shared" si="7"/>
        <v>1.3533042307323218E-3</v>
      </c>
    </row>
    <row r="226" spans="1:6" x14ac:dyDescent="0.25">
      <c r="A226" s="32">
        <v>4831.8382080000001</v>
      </c>
      <c r="B226" s="32">
        <v>1.0016099999999999</v>
      </c>
      <c r="E226" s="2">
        <f t="shared" si="6"/>
        <v>1.000246638602736</v>
      </c>
      <c r="F226">
        <f t="shared" si="7"/>
        <v>1.3633613972638958E-3</v>
      </c>
    </row>
    <row r="227" spans="1:6" x14ac:dyDescent="0.25">
      <c r="A227" s="32">
        <v>5368.7091200000004</v>
      </c>
      <c r="B227" s="32">
        <v>1.0016400000000001</v>
      </c>
      <c r="E227" s="2">
        <f t="shared" si="6"/>
        <v>1.0002465953525046</v>
      </c>
      <c r="F227">
        <f t="shared" si="7"/>
        <v>1.3934046474954886E-3</v>
      </c>
    </row>
    <row r="228" spans="1:6" x14ac:dyDescent="0.25">
      <c r="A228" s="32">
        <v>5905.5800319999998</v>
      </c>
      <c r="B228" s="32">
        <v>1.00156</v>
      </c>
      <c r="E228" s="2">
        <f t="shared" si="6"/>
        <v>1.0002465616980234</v>
      </c>
      <c r="F228">
        <f t="shared" si="7"/>
        <v>1.3134383019766105E-3</v>
      </c>
    </row>
    <row r="229" spans="1:6" x14ac:dyDescent="0.25">
      <c r="A229" s="32">
        <v>6442.4509440000002</v>
      </c>
      <c r="B229" s="32">
        <v>1.0017</v>
      </c>
      <c r="E229" s="2">
        <f t="shared" si="6"/>
        <v>1.0002465349024345</v>
      </c>
      <c r="F229">
        <f t="shared" si="7"/>
        <v>1.4534650975654984E-3</v>
      </c>
    </row>
    <row r="230" spans="1:6" x14ac:dyDescent="0.25">
      <c r="A230" s="32">
        <v>6979.3218559999996</v>
      </c>
      <c r="B230" s="32">
        <v>1.00183</v>
      </c>
      <c r="E230" s="2">
        <f t="shared" si="6"/>
        <v>1.0002465131566642</v>
      </c>
      <c r="F230">
        <f t="shared" si="7"/>
        <v>1.5834868433357574E-3</v>
      </c>
    </row>
    <row r="231" spans="1:6" x14ac:dyDescent="0.25">
      <c r="A231" s="32">
        <v>7516.1927679999999</v>
      </c>
      <c r="B231" s="32">
        <v>1.0019199999999999</v>
      </c>
      <c r="E231" s="2">
        <f t="shared" si="6"/>
        <v>1.0002464952220151</v>
      </c>
      <c r="F231">
        <f t="shared" si="7"/>
        <v>1.67350477798478E-3</v>
      </c>
    </row>
    <row r="232" spans="1:6" x14ac:dyDescent="0.25">
      <c r="A232" s="32">
        <v>8053.0636800000002</v>
      </c>
      <c r="B232" s="32">
        <v>1.0018</v>
      </c>
      <c r="E232" s="2">
        <f t="shared" si="6"/>
        <v>1.0002464802247999</v>
      </c>
      <c r="F232">
        <f t="shared" si="7"/>
        <v>1.5535197752001295E-3</v>
      </c>
    </row>
    <row r="233" spans="1:6" x14ac:dyDescent="0.25">
      <c r="A233" s="32">
        <v>8589.9345919999996</v>
      </c>
      <c r="B233" s="32">
        <v>1.0018899999999999</v>
      </c>
      <c r="E233" s="2">
        <f t="shared" si="6"/>
        <v>1.000246467532979</v>
      </c>
      <c r="F233">
        <f t="shared" si="7"/>
        <v>1.6435324670209805E-3</v>
      </c>
    </row>
    <row r="234" spans="1:6" x14ac:dyDescent="0.25">
      <c r="A234" s="32">
        <v>9663.6764160000002</v>
      </c>
      <c r="B234" s="32">
        <v>1.00223</v>
      </c>
      <c r="E234" s="2">
        <f t="shared" si="6"/>
        <v>1.0002464473112855</v>
      </c>
      <c r="F234">
        <f t="shared" si="7"/>
        <v>1.9835526887144184E-3</v>
      </c>
    </row>
    <row r="235" spans="1:6" x14ac:dyDescent="0.25">
      <c r="A235" s="32">
        <v>10737.418240000001</v>
      </c>
      <c r="B235" s="32">
        <v>1.0024299999999999</v>
      </c>
      <c r="E235" s="2">
        <f t="shared" si="6"/>
        <v>1.0002464320130711</v>
      </c>
      <c r="F235">
        <f t="shared" si="7"/>
        <v>2.1835679869288693E-3</v>
      </c>
    </row>
    <row r="236" spans="1:6" x14ac:dyDescent="0.25">
      <c r="A236" s="32">
        <v>11811.160064</v>
      </c>
      <c r="B236" s="32">
        <v>1.00258</v>
      </c>
      <c r="E236" s="2">
        <f t="shared" si="6"/>
        <v>1.0002464201095258</v>
      </c>
      <c r="F236">
        <f t="shared" si="7"/>
        <v>2.3335798904742244E-3</v>
      </c>
    </row>
    <row r="237" spans="1:6" x14ac:dyDescent="0.25">
      <c r="A237" s="32">
        <v>12884.901888</v>
      </c>
      <c r="B237" s="32">
        <v>1.0023</v>
      </c>
      <c r="E237" s="2">
        <f t="shared" si="6"/>
        <v>1.0002464106323015</v>
      </c>
      <c r="F237">
        <f t="shared" si="7"/>
        <v>2.0535893676985051E-3</v>
      </c>
    </row>
    <row r="238" spans="1:6" x14ac:dyDescent="0.25">
      <c r="A238" s="32">
        <v>13958.643711999999</v>
      </c>
      <c r="B238" s="32">
        <v>1.0019899999999999</v>
      </c>
      <c r="E238" s="2">
        <f t="shared" si="6"/>
        <v>1.0002464029413587</v>
      </c>
      <c r="F238">
        <f t="shared" si="7"/>
        <v>1.7435970586412441E-3</v>
      </c>
    </row>
    <row r="239" spans="1:6" x14ac:dyDescent="0.25">
      <c r="A239" s="32">
        <v>15032.385536</v>
      </c>
      <c r="B239" s="32">
        <v>1.0019100000000001</v>
      </c>
    </row>
    <row r="240" spans="1:6" x14ac:dyDescent="0.25">
      <c r="A240" s="32">
        <v>16106.12736</v>
      </c>
      <c r="B240" s="32">
        <v>1.0022200000000001</v>
      </c>
    </row>
    <row r="241" spans="1:2" x14ac:dyDescent="0.25">
      <c r="A241" s="32">
        <v>17179.869183999999</v>
      </c>
      <c r="B241" s="32">
        <v>1.0022800000000001</v>
      </c>
    </row>
    <row r="242" spans="1:2" x14ac:dyDescent="0.25">
      <c r="A242" s="32">
        <v>19327.352832</v>
      </c>
      <c r="B242" s="32">
        <v>1.0027699999999999</v>
      </c>
    </row>
    <row r="243" spans="1:2" x14ac:dyDescent="0.25">
      <c r="A243" s="32">
        <v>21474.836480000002</v>
      </c>
      <c r="B243" s="32">
        <v>1.0026200000000001</v>
      </c>
    </row>
    <row r="244" spans="1:2" x14ac:dyDescent="0.25">
      <c r="A244" s="32">
        <v>23622.320127999999</v>
      </c>
      <c r="B244" s="32">
        <v>1.0031000000000001</v>
      </c>
    </row>
    <row r="245" spans="1:2" x14ac:dyDescent="0.25">
      <c r="A245" s="32">
        <v>25769.803776000001</v>
      </c>
      <c r="B245" s="32">
        <v>1.00386</v>
      </c>
    </row>
    <row r="246" spans="1:2" x14ac:dyDescent="0.25">
      <c r="A246" s="29">
        <v>27917.287423999998</v>
      </c>
      <c r="B246" s="29">
        <v>0.99591300000000005</v>
      </c>
    </row>
  </sheetData>
  <phoneticPr fontId="0" type="noConversion"/>
  <pageMargins left="0.7" right="0.7" top="0.75" bottom="0.75" header="0.3" footer="0.3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/>
  </sheetViews>
  <sheetFormatPr defaultColWidth="9" defaultRowHeight="15" x14ac:dyDescent="0.25"/>
  <cols>
    <col min="1" max="1" width="14.28515625" bestFit="1" customWidth="1"/>
    <col min="2" max="2" width="9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7.140625" customWidth="1"/>
    <col min="10" max="10" width="15.42578125" bestFit="1" customWidth="1"/>
  </cols>
  <sheetData>
    <row r="1" spans="1:12" x14ac:dyDescent="0.25">
      <c r="A1" t="s">
        <v>6</v>
      </c>
      <c r="B1" t="s">
        <v>8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33">
        <v>3.9999999999999998E-6</v>
      </c>
      <c r="B2" s="33">
        <v>1.1507099999999999</v>
      </c>
      <c r="C2" s="7" t="s">
        <v>1</v>
      </c>
      <c r="D2" s="6">
        <v>0.99996178903744193</v>
      </c>
      <c r="E2" s="2">
        <f>$D$2+1/$D$3*($D$8/(1+A2/$D$4)/SQRT(1+A2/$D$4/$D$5/$D$5)+(1-$D$8)/(1+A2/$D$6)/SQRT(1+A2/$D$6/$D$7/$D$7))*(1+$D$9*EXP(-A2/$D$10)+$D$11*EXP(-A2/$D$12))</f>
        <v>1.2462518580721618</v>
      </c>
      <c r="F2">
        <f t="shared" ref="F2:F65" si="0">B2-E2</f>
        <v>-9.5541858072161867E-2</v>
      </c>
      <c r="G2">
        <f>SUMSQ(F$4:F$190)</f>
        <v>2.5743774981630586E-3</v>
      </c>
      <c r="I2" s="13" t="s">
        <v>19</v>
      </c>
      <c r="J2" s="19">
        <v>108.1</v>
      </c>
      <c r="L2" s="14">
        <f>(J2+J3)/D3</f>
        <v>50.306430708630302</v>
      </c>
    </row>
    <row r="3" spans="1:12" x14ac:dyDescent="0.25">
      <c r="A3" s="33">
        <v>7.9999999999999996E-6</v>
      </c>
      <c r="B3" s="33">
        <v>1.2054800000000001</v>
      </c>
      <c r="C3" s="7" t="s">
        <v>2</v>
      </c>
      <c r="D3" s="6">
        <v>4.2598927608520603</v>
      </c>
      <c r="E3" s="2">
        <f t="shared" ref="E3:E66" si="1">$D$2+1/$D$3*($D$8/(1+A3/$D$4)/SQRT(1+A3/$D$4/$D$5/$D$5)+(1-$D$8)/(1+A3/$D$6)/SQRT(1+A3/$D$6/$D$7/$D$7))*(1+$D$9*EXP(-A3/$D$10)+$D$11*EXP(-A3/$D$12))</f>
        <v>1.246221146432331</v>
      </c>
      <c r="F3">
        <f t="shared" si="0"/>
        <v>-4.0741146432330844E-2</v>
      </c>
      <c r="H3" s="1"/>
      <c r="I3" s="13" t="s">
        <v>20</v>
      </c>
      <c r="J3" s="20">
        <v>106.2</v>
      </c>
    </row>
    <row r="4" spans="1:12" x14ac:dyDescent="0.25">
      <c r="A4" s="33">
        <v>1.2E-5</v>
      </c>
      <c r="B4" s="33">
        <v>1.2471300000000001</v>
      </c>
      <c r="C4" s="7" t="s">
        <v>26</v>
      </c>
      <c r="D4" s="6">
        <v>0.18926185778362881</v>
      </c>
      <c r="E4" s="2">
        <f t="shared" si="1"/>
        <v>1.2461904920788944</v>
      </c>
      <c r="F4">
        <f t="shared" si="0"/>
        <v>9.395079211056423E-4</v>
      </c>
      <c r="H4" s="1"/>
      <c r="I4" s="5"/>
    </row>
    <row r="5" spans="1:12" x14ac:dyDescent="0.25">
      <c r="A5" s="33">
        <v>1.5999999999999999E-5</v>
      </c>
      <c r="B5" s="33">
        <v>1.23943</v>
      </c>
      <c r="C5" s="7" t="s">
        <v>22</v>
      </c>
      <c r="D5" s="6">
        <v>5.5740387777998652</v>
      </c>
      <c r="E5" s="2">
        <f t="shared" si="1"/>
        <v>1.2461598948849377</v>
      </c>
      <c r="F5">
        <f t="shared" si="0"/>
        <v>-6.7298948849376927E-3</v>
      </c>
      <c r="H5" s="1"/>
      <c r="I5" s="4"/>
    </row>
    <row r="6" spans="1:12" x14ac:dyDescent="0.25">
      <c r="A6" s="33">
        <v>2.0000000000000002E-5</v>
      </c>
      <c r="B6" s="33">
        <v>1.2675000000000001</v>
      </c>
      <c r="C6" s="7" t="s">
        <v>25</v>
      </c>
      <c r="D6" s="6">
        <v>1.38</v>
      </c>
      <c r="E6" s="2">
        <f t="shared" si="1"/>
        <v>1.2461293547238277</v>
      </c>
      <c r="F6">
        <f t="shared" si="0"/>
        <v>2.1370645276172384E-2</v>
      </c>
      <c r="H6" s="1"/>
      <c r="I6" s="4"/>
    </row>
    <row r="7" spans="1:12" x14ac:dyDescent="0.25">
      <c r="A7" s="33">
        <v>2.4000000000000001E-5</v>
      </c>
      <c r="B7" s="33">
        <v>1.2455000000000001</v>
      </c>
      <c r="C7" s="7" t="s">
        <v>22</v>
      </c>
      <c r="D7" s="6">
        <f>D5</f>
        <v>5.5740387777998652</v>
      </c>
      <c r="E7" s="2">
        <f t="shared" si="1"/>
        <v>1.2460988714692136</v>
      </c>
      <c r="F7">
        <f t="shared" si="0"/>
        <v>-5.9887146921355772E-4</v>
      </c>
      <c r="H7" s="1"/>
      <c r="I7" s="4"/>
    </row>
    <row r="8" spans="1:12" x14ac:dyDescent="0.25">
      <c r="A8" s="33">
        <v>2.8E-5</v>
      </c>
      <c r="B8" s="33">
        <v>1.2417899999999999</v>
      </c>
      <c r="C8" s="7" t="s">
        <v>13</v>
      </c>
      <c r="D8" s="6">
        <v>1</v>
      </c>
      <c r="E8" s="2">
        <f t="shared" si="1"/>
        <v>1.2460684449950254</v>
      </c>
      <c r="F8">
        <f t="shared" si="0"/>
        <v>-4.2784449950254988E-3</v>
      </c>
      <c r="H8" s="1"/>
      <c r="I8" s="4"/>
    </row>
    <row r="9" spans="1:12" x14ac:dyDescent="0.25">
      <c r="A9" s="33">
        <v>3.1999999999999999E-5</v>
      </c>
      <c r="B9" s="33">
        <v>1.2420599999999999</v>
      </c>
      <c r="C9" s="7" t="s">
        <v>14</v>
      </c>
      <c r="D9" s="6">
        <v>4.9300355018690442E-2</v>
      </c>
      <c r="E9" s="2">
        <f t="shared" si="1"/>
        <v>1.2460380751754736</v>
      </c>
      <c r="F9">
        <f t="shared" si="0"/>
        <v>-3.978075175473661E-3</v>
      </c>
      <c r="H9" s="1"/>
      <c r="I9" s="4"/>
    </row>
    <row r="10" spans="1:12" x14ac:dyDescent="0.25">
      <c r="A10" s="33">
        <v>3.6000000000000001E-5</v>
      </c>
      <c r="B10" s="33">
        <v>1.2522899999999999</v>
      </c>
      <c r="C10" s="7" t="s">
        <v>24</v>
      </c>
      <c r="D10" s="6">
        <v>1.8148188783373457E-3</v>
      </c>
      <c r="E10" s="2">
        <f t="shared" si="1"/>
        <v>1.2460077618850476</v>
      </c>
      <c r="F10">
        <f t="shared" si="0"/>
        <v>6.282238114952321E-3</v>
      </c>
      <c r="H10" s="1"/>
      <c r="I10" s="4"/>
    </row>
    <row r="11" spans="1:12" x14ac:dyDescent="0.25">
      <c r="A11" s="33">
        <v>4.0000000000000003E-5</v>
      </c>
      <c r="B11" s="33">
        <v>1.22377</v>
      </c>
      <c r="C11" s="7" t="s">
        <v>15</v>
      </c>
      <c r="D11" s="6">
        <v>0</v>
      </c>
      <c r="E11" s="2">
        <f t="shared" si="1"/>
        <v>1.2459775049985167</v>
      </c>
      <c r="F11">
        <f t="shared" si="0"/>
        <v>-2.2207504998516647E-2</v>
      </c>
      <c r="H11" s="1"/>
      <c r="I11" s="4"/>
    </row>
    <row r="12" spans="1:12" x14ac:dyDescent="0.25">
      <c r="A12" s="33">
        <v>4.3999999999999999E-5</v>
      </c>
      <c r="B12" s="33">
        <v>1.24949</v>
      </c>
      <c r="C12" s="7" t="s">
        <v>23</v>
      </c>
      <c r="D12" s="6">
        <v>2.064440385302267E-5</v>
      </c>
      <c r="E12" s="2">
        <f t="shared" si="1"/>
        <v>1.2459473043909282</v>
      </c>
      <c r="F12">
        <f t="shared" si="0"/>
        <v>3.5426956090718331E-3</v>
      </c>
      <c r="H12" s="1"/>
      <c r="I12" s="4"/>
    </row>
    <row r="13" spans="1:12" x14ac:dyDescent="0.25">
      <c r="A13" s="33">
        <v>4.8000000000000001E-5</v>
      </c>
      <c r="B13" s="33">
        <v>1.23699</v>
      </c>
      <c r="E13" s="2">
        <f t="shared" si="1"/>
        <v>1.2459171599376075</v>
      </c>
      <c r="F13">
        <f t="shared" si="0"/>
        <v>-8.9271599376075095E-3</v>
      </c>
      <c r="H13" s="1"/>
    </row>
    <row r="14" spans="1:12" x14ac:dyDescent="0.25">
      <c r="A14" s="33">
        <v>5.1999999999999997E-5</v>
      </c>
      <c r="B14" s="33">
        <v>1.23228</v>
      </c>
      <c r="E14" s="2">
        <f t="shared" si="1"/>
        <v>1.2458870715141572</v>
      </c>
      <c r="F14">
        <f t="shared" si="0"/>
        <v>-1.3607071514157187E-2</v>
      </c>
      <c r="H14" s="1"/>
    </row>
    <row r="15" spans="1:12" x14ac:dyDescent="0.25">
      <c r="A15" s="33">
        <v>5.5999999999999999E-5</v>
      </c>
      <c r="B15" s="33">
        <v>1.26841</v>
      </c>
      <c r="E15" s="2">
        <f t="shared" si="1"/>
        <v>1.2458570389964561</v>
      </c>
      <c r="F15">
        <f t="shared" si="0"/>
        <v>2.2552961003543981E-2</v>
      </c>
      <c r="H15" s="1"/>
    </row>
    <row r="16" spans="1:12" x14ac:dyDescent="0.25">
      <c r="A16" s="33">
        <v>6.0000000000000002E-5</v>
      </c>
      <c r="B16" s="33">
        <v>1.2489399999999999</v>
      </c>
      <c r="E16" s="2">
        <f t="shared" si="1"/>
        <v>1.2458270622606593</v>
      </c>
      <c r="F16">
        <f t="shared" si="0"/>
        <v>3.1129377393406266E-3</v>
      </c>
      <c r="H16" s="1"/>
    </row>
    <row r="17" spans="1:8" x14ac:dyDescent="0.25">
      <c r="A17" s="33">
        <v>6.3999999999999997E-5</v>
      </c>
      <c r="B17" s="33">
        <v>1.24536</v>
      </c>
      <c r="E17" s="2">
        <f t="shared" si="1"/>
        <v>1.2457971411831972</v>
      </c>
      <c r="F17">
        <f t="shared" si="0"/>
        <v>-4.3714118319715389E-4</v>
      </c>
      <c r="H17" s="1"/>
    </row>
    <row r="18" spans="1:8" x14ac:dyDescent="0.25">
      <c r="A18" s="33">
        <v>7.2000000000000002E-5</v>
      </c>
      <c r="B18" s="33">
        <v>1.25922</v>
      </c>
      <c r="E18" s="2">
        <f t="shared" si="1"/>
        <v>1.2457374655103723</v>
      </c>
      <c r="F18">
        <f t="shared" si="0"/>
        <v>1.3482534489627662E-2</v>
      </c>
      <c r="H18" s="1"/>
    </row>
    <row r="19" spans="1:8" x14ac:dyDescent="0.25">
      <c r="A19" s="33">
        <v>8.0000000000000007E-5</v>
      </c>
      <c r="B19" s="33">
        <v>1.2517</v>
      </c>
      <c r="E19" s="2">
        <f t="shared" si="1"/>
        <v>1.2456780109949086</v>
      </c>
      <c r="F19">
        <f t="shared" si="0"/>
        <v>6.0219890050914326E-3</v>
      </c>
      <c r="H19" s="1"/>
    </row>
    <row r="20" spans="1:8" x14ac:dyDescent="0.25">
      <c r="A20" s="33">
        <v>8.7999999999999998E-5</v>
      </c>
      <c r="B20" s="33">
        <v>1.2471300000000001</v>
      </c>
      <c r="E20" s="2">
        <f t="shared" si="1"/>
        <v>1.2456187766580997</v>
      </c>
      <c r="F20">
        <f t="shared" si="0"/>
        <v>1.5112233419003474E-3</v>
      </c>
      <c r="H20" s="1"/>
    </row>
    <row r="21" spans="1:8" x14ac:dyDescent="0.25">
      <c r="A21" s="33">
        <v>9.6000000000000002E-5</v>
      </c>
      <c r="B21" s="33">
        <v>1.24586</v>
      </c>
      <c r="E21" s="2">
        <f t="shared" si="1"/>
        <v>1.2455597615255876</v>
      </c>
      <c r="F21">
        <f t="shared" si="0"/>
        <v>3.0023847441240648E-4</v>
      </c>
      <c r="H21" s="1"/>
    </row>
    <row r="22" spans="1:8" x14ac:dyDescent="0.25">
      <c r="A22" s="33">
        <v>1.0399999999999999E-4</v>
      </c>
      <c r="B22" s="33">
        <v>1.2406600000000001</v>
      </c>
      <c r="E22" s="2">
        <f t="shared" si="1"/>
        <v>1.2455009646273414</v>
      </c>
      <c r="F22">
        <f t="shared" si="0"/>
        <v>-4.8409646273412932E-3</v>
      </c>
      <c r="H22" s="1"/>
    </row>
    <row r="23" spans="1:8" x14ac:dyDescent="0.25">
      <c r="A23" s="33">
        <v>1.12E-4</v>
      </c>
      <c r="B23" s="33">
        <v>1.2402899999999999</v>
      </c>
      <c r="E23" s="2">
        <f t="shared" si="1"/>
        <v>1.2454423849976393</v>
      </c>
      <c r="F23">
        <f t="shared" si="0"/>
        <v>-5.1523849976393699E-3</v>
      </c>
      <c r="H23" s="1"/>
    </row>
    <row r="24" spans="1:8" x14ac:dyDescent="0.25">
      <c r="A24" s="33">
        <v>1.2E-4</v>
      </c>
      <c r="B24" s="33">
        <v>1.24129</v>
      </c>
      <c r="E24" s="2">
        <f t="shared" si="1"/>
        <v>1.2453840216750494</v>
      </c>
      <c r="F24">
        <f t="shared" si="0"/>
        <v>-4.094021675049353E-3</v>
      </c>
      <c r="H24" s="1"/>
    </row>
    <row r="25" spans="1:8" x14ac:dyDescent="0.25">
      <c r="A25" s="33">
        <v>1.2799999999999999E-4</v>
      </c>
      <c r="B25" s="33">
        <v>1.2423999999999999</v>
      </c>
      <c r="E25" s="2">
        <f t="shared" si="1"/>
        <v>1.2453258737024102</v>
      </c>
      <c r="F25">
        <f t="shared" si="0"/>
        <v>-2.9258737024102643E-3</v>
      </c>
      <c r="H25" s="1"/>
    </row>
    <row r="26" spans="1:8" x14ac:dyDescent="0.25">
      <c r="A26" s="33">
        <v>1.44E-4</v>
      </c>
      <c r="B26" s="33">
        <v>1.2504299999999999</v>
      </c>
      <c r="E26" s="2">
        <f t="shared" si="1"/>
        <v>1.2452102199995769</v>
      </c>
      <c r="F26">
        <f t="shared" si="0"/>
        <v>5.2197800004230022E-3</v>
      </c>
      <c r="H26" s="1"/>
    </row>
    <row r="27" spans="1:8" x14ac:dyDescent="0.25">
      <c r="A27" s="33">
        <v>1.6000000000000001E-4</v>
      </c>
      <c r="B27" s="33">
        <v>1.2462</v>
      </c>
      <c r="E27" s="2">
        <f t="shared" si="1"/>
        <v>1.2450954163165417</v>
      </c>
      <c r="F27">
        <f t="shared" si="0"/>
        <v>1.1045836834582268E-3</v>
      </c>
      <c r="H27" s="1"/>
    </row>
    <row r="28" spans="1:8" x14ac:dyDescent="0.25">
      <c r="A28" s="33">
        <v>1.76E-4</v>
      </c>
      <c r="B28" s="33">
        <v>1.2539400000000001</v>
      </c>
      <c r="E28" s="2">
        <f t="shared" si="1"/>
        <v>1.2449814551478302</v>
      </c>
      <c r="F28">
        <f t="shared" si="0"/>
        <v>8.9585448521698474E-3</v>
      </c>
      <c r="H28" s="1"/>
    </row>
    <row r="29" spans="1:8" x14ac:dyDescent="0.25">
      <c r="A29" s="33">
        <v>1.92E-4</v>
      </c>
      <c r="B29" s="33">
        <v>1.2369699999999999</v>
      </c>
      <c r="E29" s="2">
        <f t="shared" si="1"/>
        <v>1.2448683290544973</v>
      </c>
      <c r="F29">
        <f t="shared" si="0"/>
        <v>-7.8983290544973883E-3</v>
      </c>
      <c r="H29" s="1"/>
    </row>
    <row r="30" spans="1:8" x14ac:dyDescent="0.25">
      <c r="A30" s="33">
        <v>2.0799999999999999E-4</v>
      </c>
      <c r="B30" s="33">
        <v>1.2459800000000001</v>
      </c>
      <c r="E30" s="2">
        <f t="shared" si="1"/>
        <v>1.244756030663537</v>
      </c>
      <c r="F30">
        <f t="shared" si="0"/>
        <v>1.223969336463071E-3</v>
      </c>
      <c r="H30" s="1"/>
    </row>
    <row r="31" spans="1:8" x14ac:dyDescent="0.25">
      <c r="A31" s="33">
        <v>2.24E-4</v>
      </c>
      <c r="B31" s="33">
        <v>1.2456400000000001</v>
      </c>
      <c r="E31" s="2">
        <f t="shared" si="1"/>
        <v>1.2446445526672987</v>
      </c>
      <c r="F31">
        <f t="shared" si="0"/>
        <v>9.9544733270140462E-4</v>
      </c>
      <c r="H31" s="1"/>
    </row>
    <row r="32" spans="1:8" x14ac:dyDescent="0.25">
      <c r="A32" s="33">
        <v>2.4000000000000001E-4</v>
      </c>
      <c r="B32" s="33">
        <v>1.23844</v>
      </c>
      <c r="E32" s="2">
        <f t="shared" si="1"/>
        <v>1.244533887822906</v>
      </c>
      <c r="F32">
        <f t="shared" si="0"/>
        <v>-6.0938878229059856E-3</v>
      </c>
      <c r="H32" s="1"/>
    </row>
    <row r="33" spans="1:8" x14ac:dyDescent="0.25">
      <c r="A33" s="33">
        <v>2.5599999999999999E-4</v>
      </c>
      <c r="B33" s="33">
        <v>1.2448999999999999</v>
      </c>
      <c r="E33" s="2">
        <f t="shared" si="1"/>
        <v>1.2444240289516844</v>
      </c>
      <c r="F33">
        <f t="shared" si="0"/>
        <v>4.7597104831553771E-4</v>
      </c>
      <c r="H33" s="1"/>
    </row>
    <row r="34" spans="1:8" x14ac:dyDescent="0.25">
      <c r="A34" s="33">
        <v>2.8800000000000001E-4</v>
      </c>
      <c r="B34" s="33">
        <v>1.2421500000000001</v>
      </c>
      <c r="E34" s="2">
        <f t="shared" si="1"/>
        <v>1.2442067007316493</v>
      </c>
      <c r="F34">
        <f t="shared" si="0"/>
        <v>-2.0567007316492081E-3</v>
      </c>
      <c r="H34" s="1"/>
    </row>
    <row r="35" spans="1:8" x14ac:dyDescent="0.25">
      <c r="A35" s="33">
        <v>3.2000000000000003E-4</v>
      </c>
      <c r="B35" s="33">
        <v>1.2516</v>
      </c>
      <c r="E35" s="2">
        <f t="shared" si="1"/>
        <v>1.2439925118403092</v>
      </c>
      <c r="F35">
        <f t="shared" si="0"/>
        <v>7.6074881596908117E-3</v>
      </c>
      <c r="H35" s="1"/>
    </row>
    <row r="36" spans="1:8" x14ac:dyDescent="0.25">
      <c r="A36" s="33">
        <v>3.5199999999999999E-4</v>
      </c>
      <c r="B36" s="33">
        <v>1.2414700000000001</v>
      </c>
      <c r="E36" s="2">
        <f t="shared" si="1"/>
        <v>1.2437814071020881</v>
      </c>
      <c r="F36">
        <f t="shared" si="0"/>
        <v>-2.3114071020879923E-3</v>
      </c>
      <c r="H36" s="1"/>
    </row>
    <row r="37" spans="1:8" x14ac:dyDescent="0.25">
      <c r="A37" s="33">
        <v>3.8400000000000001E-4</v>
      </c>
      <c r="B37" s="33">
        <v>1.2398899999999999</v>
      </c>
      <c r="E37" s="2">
        <f t="shared" si="1"/>
        <v>1.2435733323152183</v>
      </c>
      <c r="F37">
        <f t="shared" si="0"/>
        <v>-3.683332315218335E-3</v>
      </c>
      <c r="H37" s="1"/>
    </row>
    <row r="38" spans="1:8" x14ac:dyDescent="0.25">
      <c r="A38" s="33">
        <v>4.1599999999999997E-4</v>
      </c>
      <c r="B38" s="33">
        <v>1.23655</v>
      </c>
      <c r="E38" s="2">
        <f t="shared" si="1"/>
        <v>1.2433682342345498</v>
      </c>
      <c r="F38">
        <f t="shared" si="0"/>
        <v>-6.8182342345497471E-3</v>
      </c>
      <c r="H38" s="1"/>
    </row>
    <row r="39" spans="1:8" x14ac:dyDescent="0.25">
      <c r="A39" s="33">
        <v>4.4799999999999999E-4</v>
      </c>
      <c r="B39" s="33">
        <v>1.2437100000000001</v>
      </c>
      <c r="E39" s="2">
        <f t="shared" si="1"/>
        <v>1.2431660605546624</v>
      </c>
      <c r="F39">
        <f t="shared" si="0"/>
        <v>5.4393944533770444E-4</v>
      </c>
      <c r="H39" s="1"/>
    </row>
    <row r="40" spans="1:8" x14ac:dyDescent="0.25">
      <c r="A40" s="33">
        <v>4.8000000000000001E-4</v>
      </c>
      <c r="B40" s="33">
        <v>1.2388999999999999</v>
      </c>
      <c r="E40" s="2">
        <f t="shared" si="1"/>
        <v>1.2429667598932783</v>
      </c>
      <c r="F40">
        <f t="shared" si="0"/>
        <v>-4.0667598932784266E-3</v>
      </c>
      <c r="H40" s="1"/>
    </row>
    <row r="41" spans="1:8" x14ac:dyDescent="0.25">
      <c r="A41" s="33">
        <v>5.1199999999999998E-4</v>
      </c>
      <c r="B41" s="33">
        <v>1.24241</v>
      </c>
      <c r="E41" s="2">
        <f t="shared" si="1"/>
        <v>1.2427702817749651</v>
      </c>
      <c r="F41">
        <f t="shared" si="0"/>
        <v>-3.6028177496505442E-4</v>
      </c>
      <c r="H41" s="1"/>
    </row>
    <row r="42" spans="1:8" x14ac:dyDescent="0.25">
      <c r="A42" s="33">
        <v>5.7600000000000001E-4</v>
      </c>
      <c r="B42" s="33">
        <v>1.2424299999999999</v>
      </c>
      <c r="E42" s="2">
        <f t="shared" si="1"/>
        <v>1.2423855957042802</v>
      </c>
      <c r="F42">
        <f t="shared" si="0"/>
        <v>4.4404295719724374E-5</v>
      </c>
      <c r="H42" s="1"/>
    </row>
    <row r="43" spans="1:8" x14ac:dyDescent="0.25">
      <c r="A43" s="33">
        <v>6.4000000000000005E-4</v>
      </c>
      <c r="B43" s="33">
        <v>1.24363</v>
      </c>
      <c r="E43" s="2">
        <f t="shared" si="1"/>
        <v>1.2420116160747643</v>
      </c>
      <c r="F43">
        <f t="shared" si="0"/>
        <v>1.6183839252357224E-3</v>
      </c>
      <c r="H43" s="1"/>
    </row>
    <row r="44" spans="1:8" x14ac:dyDescent="0.25">
      <c r="A44" s="33">
        <v>7.0399999999999998E-4</v>
      </c>
      <c r="B44" s="33">
        <v>1.2414799999999999</v>
      </c>
      <c r="E44" s="2">
        <f t="shared" si="1"/>
        <v>1.2416479701325229</v>
      </c>
      <c r="F44">
        <f t="shared" si="0"/>
        <v>-1.6797013252300985E-4</v>
      </c>
      <c r="H44" s="1"/>
    </row>
    <row r="45" spans="1:8" x14ac:dyDescent="0.25">
      <c r="A45" s="33">
        <v>7.6800000000000002E-4</v>
      </c>
      <c r="B45" s="33">
        <v>1.2401500000000001</v>
      </c>
      <c r="E45" s="2">
        <f t="shared" si="1"/>
        <v>1.2412942981647066</v>
      </c>
      <c r="F45">
        <f t="shared" si="0"/>
        <v>-1.1442981647065142E-3</v>
      </c>
      <c r="H45" s="1"/>
    </row>
    <row r="46" spans="1:8" x14ac:dyDescent="0.25">
      <c r="A46" s="33">
        <v>8.3199999999999995E-4</v>
      </c>
      <c r="B46" s="33">
        <v>1.2406699999999999</v>
      </c>
      <c r="E46" s="2">
        <f t="shared" si="1"/>
        <v>1.2409502530431578</v>
      </c>
      <c r="F46">
        <f t="shared" si="0"/>
        <v>-2.8025304315781874E-4</v>
      </c>
      <c r="H46" s="1"/>
    </row>
    <row r="47" spans="1:8" x14ac:dyDescent="0.25">
      <c r="A47" s="33">
        <v>8.9599999999999999E-4</v>
      </c>
      <c r="B47" s="33">
        <v>1.2426299999999999</v>
      </c>
      <c r="E47" s="2">
        <f t="shared" si="1"/>
        <v>1.2406154997840284</v>
      </c>
      <c r="F47">
        <f t="shared" si="0"/>
        <v>2.0145002159714931E-3</v>
      </c>
      <c r="H47" s="1"/>
    </row>
    <row r="48" spans="1:8" x14ac:dyDescent="0.25">
      <c r="A48" s="33">
        <v>9.6000000000000002E-4</v>
      </c>
      <c r="B48" s="33">
        <v>1.2426600000000001</v>
      </c>
      <c r="E48" s="2">
        <f t="shared" si="1"/>
        <v>1.2402897151228096</v>
      </c>
      <c r="F48">
        <f t="shared" si="0"/>
        <v>2.3702848771904872E-3</v>
      </c>
      <c r="H48" s="1"/>
    </row>
    <row r="49" spans="1:8" x14ac:dyDescent="0.25">
      <c r="A49" s="33">
        <v>1.024E-3</v>
      </c>
      <c r="B49" s="33">
        <v>1.2401199999999999</v>
      </c>
      <c r="E49" s="2">
        <f t="shared" si="1"/>
        <v>1.2399725871042344</v>
      </c>
      <c r="F49">
        <f t="shared" si="0"/>
        <v>1.4741289576547523E-4</v>
      </c>
      <c r="H49" s="1"/>
    </row>
    <row r="50" spans="1:8" x14ac:dyDescent="0.25">
      <c r="A50" s="33">
        <v>1.152E-3</v>
      </c>
      <c r="B50" s="33">
        <v>1.23949</v>
      </c>
      <c r="E50" s="2">
        <f t="shared" si="1"/>
        <v>1.2393631073595301</v>
      </c>
      <c r="F50">
        <f t="shared" si="0"/>
        <v>1.268926404698334E-4</v>
      </c>
      <c r="H50" s="1"/>
    </row>
    <row r="51" spans="1:8" x14ac:dyDescent="0.25">
      <c r="A51" s="33">
        <v>1.2800000000000001E-3</v>
      </c>
      <c r="B51" s="33">
        <v>1.2397400000000001</v>
      </c>
      <c r="E51" s="2">
        <f t="shared" si="1"/>
        <v>1.2387847763966613</v>
      </c>
      <c r="F51">
        <f t="shared" si="0"/>
        <v>9.5522360333877288E-4</v>
      </c>
      <c r="H51" s="1"/>
    </row>
    <row r="52" spans="1:8" x14ac:dyDescent="0.25">
      <c r="A52" s="33">
        <v>1.408E-3</v>
      </c>
      <c r="B52" s="33">
        <v>1.23543</v>
      </c>
      <c r="E52" s="2">
        <f t="shared" si="1"/>
        <v>1.2382354670809264</v>
      </c>
      <c r="F52">
        <f t="shared" si="0"/>
        <v>-2.8054670809263271E-3</v>
      </c>
      <c r="H52" s="1"/>
    </row>
    <row r="53" spans="1:8" x14ac:dyDescent="0.25">
      <c r="A53" s="33">
        <v>1.536E-3</v>
      </c>
      <c r="B53" s="33">
        <v>1.2380100000000001</v>
      </c>
      <c r="E53" s="2">
        <f t="shared" si="1"/>
        <v>1.2377131984994825</v>
      </c>
      <c r="F53">
        <f t="shared" si="0"/>
        <v>2.9680150051758503E-4</v>
      </c>
      <c r="H53" s="1"/>
    </row>
    <row r="54" spans="1:8" x14ac:dyDescent="0.25">
      <c r="A54" s="33">
        <v>1.6639999999999999E-3</v>
      </c>
      <c r="B54" s="33">
        <v>1.23621</v>
      </c>
      <c r="E54" s="2">
        <f t="shared" si="1"/>
        <v>1.2372161259071102</v>
      </c>
      <c r="F54">
        <f t="shared" si="0"/>
        <v>-1.0061259071101336E-3</v>
      </c>
      <c r="H54" s="1"/>
    </row>
    <row r="55" spans="1:8" x14ac:dyDescent="0.25">
      <c r="A55" s="33">
        <v>1.792E-3</v>
      </c>
      <c r="B55" s="33">
        <v>1.2379599999999999</v>
      </c>
      <c r="E55" s="2">
        <f t="shared" si="1"/>
        <v>1.2367425313633733</v>
      </c>
      <c r="F55">
        <f t="shared" si="0"/>
        <v>1.2174686366266396E-3</v>
      </c>
      <c r="H55" s="1"/>
    </row>
    <row r="56" spans="1:8" x14ac:dyDescent="0.25">
      <c r="A56" s="33">
        <v>1.92E-3</v>
      </c>
      <c r="B56" s="33">
        <v>1.2357100000000001</v>
      </c>
      <c r="E56" s="2">
        <f t="shared" si="1"/>
        <v>1.2362908150136303</v>
      </c>
      <c r="F56">
        <f t="shared" si="0"/>
        <v>-5.8081501363016486E-4</v>
      </c>
      <c r="H56" s="1"/>
    </row>
    <row r="57" spans="1:8" x14ac:dyDescent="0.25">
      <c r="A57" s="33">
        <v>2.0479999999999999E-3</v>
      </c>
      <c r="B57" s="33">
        <v>1.2364599999999999</v>
      </c>
      <c r="E57" s="2">
        <f t="shared" si="1"/>
        <v>1.23585948696961</v>
      </c>
      <c r="F57">
        <f t="shared" si="0"/>
        <v>6.0051303038988202E-4</v>
      </c>
      <c r="H57" s="1"/>
    </row>
    <row r="58" spans="1:8" x14ac:dyDescent="0.25">
      <c r="A58" s="33">
        <v>2.3040000000000001E-3</v>
      </c>
      <c r="B58" s="33">
        <v>1.2375499999999999</v>
      </c>
      <c r="E58" s="2">
        <f t="shared" si="1"/>
        <v>1.2350525412309301</v>
      </c>
      <c r="F58">
        <f t="shared" si="0"/>
        <v>2.4974587690698158E-3</v>
      </c>
      <c r="H58" s="1"/>
    </row>
    <row r="59" spans="1:8" x14ac:dyDescent="0.25">
      <c r="A59" s="33">
        <v>2.5600000000000002E-3</v>
      </c>
      <c r="B59" s="33">
        <v>1.2333400000000001</v>
      </c>
      <c r="E59" s="2">
        <f t="shared" si="1"/>
        <v>1.2343116997621413</v>
      </c>
      <c r="F59">
        <f t="shared" si="0"/>
        <v>-9.7169976214117604E-4</v>
      </c>
      <c r="H59" s="1"/>
    </row>
    <row r="60" spans="1:8" x14ac:dyDescent="0.25">
      <c r="A60" s="33">
        <v>2.8159999999999999E-3</v>
      </c>
      <c r="B60" s="33">
        <v>1.23451</v>
      </c>
      <c r="E60" s="2">
        <f t="shared" si="1"/>
        <v>1.2336282947564978</v>
      </c>
      <c r="F60">
        <f t="shared" si="0"/>
        <v>8.8170524350217327E-4</v>
      </c>
      <c r="H60" s="1"/>
    </row>
    <row r="61" spans="1:8" x14ac:dyDescent="0.25">
      <c r="A61" s="33">
        <v>3.0720000000000001E-3</v>
      </c>
      <c r="B61" s="33">
        <v>1.23245</v>
      </c>
      <c r="E61" s="2">
        <f t="shared" si="1"/>
        <v>1.232994808836636</v>
      </c>
      <c r="F61">
        <f t="shared" si="0"/>
        <v>-5.4480883663599045E-4</v>
      </c>
      <c r="H61" s="1"/>
    </row>
    <row r="62" spans="1:8" x14ac:dyDescent="0.25">
      <c r="A62" s="33">
        <v>3.3279999999999998E-3</v>
      </c>
      <c r="B62" s="33">
        <v>1.23302</v>
      </c>
      <c r="E62" s="2">
        <f t="shared" si="1"/>
        <v>1.2324047222975789</v>
      </c>
      <c r="F62">
        <f t="shared" si="0"/>
        <v>6.1527770242109092E-4</v>
      </c>
      <c r="H62" s="1"/>
    </row>
    <row r="63" spans="1:8" x14ac:dyDescent="0.25">
      <c r="A63" s="33">
        <v>3.5839999999999999E-3</v>
      </c>
      <c r="B63" s="33">
        <v>1.2326600000000001</v>
      </c>
      <c r="E63" s="2">
        <f t="shared" si="1"/>
        <v>1.2318523806351538</v>
      </c>
      <c r="F63">
        <f t="shared" si="0"/>
        <v>8.0761936484630148E-4</v>
      </c>
      <c r="H63" s="1"/>
    </row>
    <row r="64" spans="1:8" x14ac:dyDescent="0.25">
      <c r="A64" s="33">
        <v>3.8400000000000001E-3</v>
      </c>
      <c r="B64" s="33">
        <v>1.2306999999999999</v>
      </c>
      <c r="E64" s="2">
        <f t="shared" si="1"/>
        <v>1.2313328796657894</v>
      </c>
      <c r="F64">
        <f t="shared" si="0"/>
        <v>-6.3287966578950972E-4</v>
      </c>
      <c r="H64" s="1"/>
    </row>
    <row r="65" spans="1:8" x14ac:dyDescent="0.25">
      <c r="A65" s="33">
        <v>4.0959999999999998E-3</v>
      </c>
      <c r="B65" s="33">
        <v>1.23119</v>
      </c>
      <c r="E65" s="2">
        <f t="shared" si="1"/>
        <v>1.2308419659014718</v>
      </c>
      <c r="F65">
        <f t="shared" si="0"/>
        <v>3.4803409852823819E-4</v>
      </c>
      <c r="H65" s="1"/>
    </row>
    <row r="66" spans="1:8" x14ac:dyDescent="0.25">
      <c r="A66" s="33">
        <v>4.6080000000000001E-3</v>
      </c>
      <c r="B66" s="33">
        <v>1.22997</v>
      </c>
      <c r="E66" s="2">
        <f t="shared" si="1"/>
        <v>1.2299316326112029</v>
      </c>
      <c r="F66">
        <f t="shared" ref="F66:F129" si="2">B66-E66</f>
        <v>3.8367388797144741E-5</v>
      </c>
      <c r="H66" s="1"/>
    </row>
    <row r="67" spans="1:8" x14ac:dyDescent="0.25">
      <c r="A67" s="33">
        <v>5.1200000000000004E-3</v>
      </c>
      <c r="B67" s="33">
        <v>1.2288399999999999</v>
      </c>
      <c r="E67" s="2">
        <f t="shared" ref="E67:E130" si="3">$D$2+1/$D$3*($D$8/(1+A67/$D$4)/SQRT(1+A67/$D$4/$D$5/$D$5)+(1-$D$8)/(1+A67/$D$6)/SQRT(1+A67/$D$6/$D$7/$D$7))*(1+$D$9*EXP(-A67/$D$10)+$D$11*EXP(-A67/$D$12))</f>
        <v>1.2290973585538925</v>
      </c>
      <c r="F67">
        <f t="shared" si="2"/>
        <v>-2.5735855389252826E-4</v>
      </c>
      <c r="H67" s="1"/>
    </row>
    <row r="68" spans="1:8" x14ac:dyDescent="0.25">
      <c r="A68" s="33">
        <v>5.6319999999999999E-3</v>
      </c>
      <c r="B68" s="33">
        <v>1.2289000000000001</v>
      </c>
      <c r="E68" s="2">
        <f t="shared" si="3"/>
        <v>1.2283210704030083</v>
      </c>
      <c r="F68">
        <f t="shared" si="2"/>
        <v>5.7892959699179514E-4</v>
      </c>
      <c r="H68" s="1"/>
    </row>
    <row r="69" spans="1:8" x14ac:dyDescent="0.25">
      <c r="A69" s="33">
        <v>6.1440000000000002E-3</v>
      </c>
      <c r="B69" s="33">
        <v>1.22984</v>
      </c>
      <c r="E69" s="2">
        <f t="shared" si="3"/>
        <v>1.2275891689709248</v>
      </c>
      <c r="F69">
        <f t="shared" si="2"/>
        <v>2.2508310290751954E-3</v>
      </c>
      <c r="H69" s="1"/>
    </row>
    <row r="70" spans="1:8" x14ac:dyDescent="0.25">
      <c r="A70" s="33">
        <v>6.6559999999999996E-3</v>
      </c>
      <c r="B70" s="33">
        <v>1.2282999999999999</v>
      </c>
      <c r="E70" s="2">
        <f t="shared" si="3"/>
        <v>1.2268914200974976</v>
      </c>
      <c r="F70">
        <f t="shared" si="2"/>
        <v>1.408579902502316E-3</v>
      </c>
      <c r="H70" s="1"/>
    </row>
    <row r="71" spans="1:8" x14ac:dyDescent="0.25">
      <c r="A71" s="33">
        <v>7.1679999999999999E-3</v>
      </c>
      <c r="B71" s="33">
        <v>1.22614</v>
      </c>
      <c r="E71" s="2">
        <f t="shared" si="3"/>
        <v>1.2262201205141514</v>
      </c>
      <c r="F71">
        <f t="shared" si="2"/>
        <v>-8.0120514151404976E-5</v>
      </c>
      <c r="H71" s="1"/>
    </row>
    <row r="72" spans="1:8" x14ac:dyDescent="0.25">
      <c r="A72" s="33">
        <v>7.6800000000000002E-3</v>
      </c>
      <c r="B72" s="33">
        <v>1.2253400000000001</v>
      </c>
      <c r="E72" s="2">
        <f t="shared" si="3"/>
        <v>1.2255694705054727</v>
      </c>
      <c r="F72">
        <f t="shared" si="2"/>
        <v>-2.294705054726176E-4</v>
      </c>
      <c r="H72" s="1"/>
    </row>
    <row r="73" spans="1:8" x14ac:dyDescent="0.25">
      <c r="A73" s="33">
        <v>8.1919999999999996E-3</v>
      </c>
      <c r="B73" s="33">
        <v>1.22542</v>
      </c>
      <c r="E73" s="2">
        <f t="shared" si="3"/>
        <v>1.2249351020957047</v>
      </c>
      <c r="F73">
        <f t="shared" si="2"/>
        <v>4.8489790429528945E-4</v>
      </c>
      <c r="H73" s="1"/>
    </row>
    <row r="74" spans="1:8" x14ac:dyDescent="0.25">
      <c r="A74" s="33">
        <v>9.2160000000000002E-3</v>
      </c>
      <c r="B74" s="33">
        <v>1.2233400000000001</v>
      </c>
      <c r="E74" s="2">
        <f t="shared" si="3"/>
        <v>1.2237028557471739</v>
      </c>
      <c r="F74">
        <f t="shared" si="2"/>
        <v>-3.6285574717376257E-4</v>
      </c>
      <c r="H74" s="1"/>
    </row>
    <row r="75" spans="1:8" x14ac:dyDescent="0.25">
      <c r="A75" s="33">
        <v>1.0240000000000001E-2</v>
      </c>
      <c r="B75" s="33">
        <v>1.22254</v>
      </c>
      <c r="E75" s="2">
        <f t="shared" si="3"/>
        <v>1.2225056183422478</v>
      </c>
      <c r="F75">
        <f t="shared" si="2"/>
        <v>3.438165775215829E-5</v>
      </c>
      <c r="H75" s="1"/>
    </row>
    <row r="76" spans="1:8" x14ac:dyDescent="0.25">
      <c r="A76" s="33">
        <v>1.1264E-2</v>
      </c>
      <c r="B76" s="33">
        <v>1.2209000000000001</v>
      </c>
      <c r="E76" s="2">
        <f t="shared" si="3"/>
        <v>1.2213332623298345</v>
      </c>
      <c r="F76">
        <f t="shared" si="2"/>
        <v>-4.3326232983442736E-4</v>
      </c>
      <c r="H76" s="1"/>
    </row>
    <row r="77" spans="1:8" x14ac:dyDescent="0.25">
      <c r="A77" s="33">
        <v>1.2288E-2</v>
      </c>
      <c r="B77" s="33">
        <v>1.2204200000000001</v>
      </c>
      <c r="E77" s="2">
        <f t="shared" si="3"/>
        <v>1.2201799812645473</v>
      </c>
      <c r="F77">
        <f t="shared" si="2"/>
        <v>2.4001873545276275E-4</v>
      </c>
      <c r="H77" s="1"/>
    </row>
    <row r="78" spans="1:8" x14ac:dyDescent="0.25">
      <c r="A78" s="33">
        <v>1.3311999999999999E-2</v>
      </c>
      <c r="B78" s="33">
        <v>1.2197100000000001</v>
      </c>
      <c r="E78" s="2">
        <f t="shared" si="3"/>
        <v>1.2190424148068342</v>
      </c>
      <c r="F78">
        <f t="shared" si="2"/>
        <v>6.6758519316589826E-4</v>
      </c>
      <c r="H78" s="1"/>
    </row>
    <row r="79" spans="1:8" x14ac:dyDescent="0.25">
      <c r="A79" s="33">
        <v>1.4336E-2</v>
      </c>
      <c r="B79" s="33">
        <v>1.2179899999999999</v>
      </c>
      <c r="E79" s="2">
        <f t="shared" si="3"/>
        <v>1.217918587986444</v>
      </c>
      <c r="F79">
        <f t="shared" si="2"/>
        <v>7.1412013555871567E-5</v>
      </c>
      <c r="H79" s="1"/>
    </row>
    <row r="80" spans="1:8" x14ac:dyDescent="0.25">
      <c r="A80" s="33">
        <v>1.536E-2</v>
      </c>
      <c r="B80" s="33">
        <v>1.2156100000000001</v>
      </c>
      <c r="E80" s="2">
        <f t="shared" si="3"/>
        <v>1.2168073110833293</v>
      </c>
      <c r="F80">
        <f t="shared" si="2"/>
        <v>-1.1973110833292111E-3</v>
      </c>
      <c r="H80" s="1"/>
    </row>
    <row r="81" spans="1:8" x14ac:dyDescent="0.25">
      <c r="A81" s="33">
        <v>1.6383999999999999E-2</v>
      </c>
      <c r="B81" s="33">
        <v>1.21549</v>
      </c>
      <c r="E81" s="2">
        <f t="shared" si="3"/>
        <v>1.215707840081393</v>
      </c>
      <c r="F81">
        <f t="shared" si="2"/>
        <v>-2.1784008139302813E-4</v>
      </c>
      <c r="H81" s="1"/>
    </row>
    <row r="82" spans="1:8" x14ac:dyDescent="0.25">
      <c r="A82" s="33">
        <v>1.8432E-2</v>
      </c>
      <c r="B82" s="33">
        <v>1.21316</v>
      </c>
      <c r="E82" s="2">
        <f t="shared" si="3"/>
        <v>1.2135424988251575</v>
      </c>
      <c r="F82">
        <f t="shared" si="2"/>
        <v>-3.8249882515750677E-4</v>
      </c>
      <c r="H82" s="1"/>
    </row>
    <row r="83" spans="1:8" x14ac:dyDescent="0.25">
      <c r="A83" s="33">
        <v>2.0480000000000002E-2</v>
      </c>
      <c r="B83" s="33">
        <v>1.21072</v>
      </c>
      <c r="E83" s="2">
        <f t="shared" si="3"/>
        <v>1.2114200359815768</v>
      </c>
      <c r="F83">
        <f t="shared" si="2"/>
        <v>-7.0003598157675206E-4</v>
      </c>
      <c r="H83" s="1"/>
    </row>
    <row r="84" spans="1:8" x14ac:dyDescent="0.25">
      <c r="A84" s="33">
        <v>2.2527999999999999E-2</v>
      </c>
      <c r="B84" s="33">
        <v>1.2099200000000001</v>
      </c>
      <c r="E84" s="2">
        <f t="shared" si="3"/>
        <v>1.2093388238340916</v>
      </c>
      <c r="F84">
        <f t="shared" si="2"/>
        <v>5.8117616590847021E-4</v>
      </c>
      <c r="H84" s="1"/>
    </row>
    <row r="85" spans="1:8" x14ac:dyDescent="0.25">
      <c r="A85" s="33">
        <v>2.4576000000000001E-2</v>
      </c>
      <c r="B85" s="33">
        <v>1.2069000000000001</v>
      </c>
      <c r="E85" s="2">
        <f t="shared" si="3"/>
        <v>1.2072975541913977</v>
      </c>
      <c r="F85">
        <f t="shared" si="2"/>
        <v>-3.9755419139764214E-4</v>
      </c>
      <c r="H85" s="1"/>
    </row>
    <row r="86" spans="1:8" x14ac:dyDescent="0.25">
      <c r="A86" s="33">
        <v>2.6623999999999998E-2</v>
      </c>
      <c r="B86" s="33">
        <v>1.20441</v>
      </c>
      <c r="E86" s="2">
        <f t="shared" si="3"/>
        <v>1.2052950508989235</v>
      </c>
      <c r="F86">
        <f t="shared" si="2"/>
        <v>-8.8505089892354505E-4</v>
      </c>
      <c r="H86" s="1"/>
    </row>
    <row r="87" spans="1:8" x14ac:dyDescent="0.25">
      <c r="A87" s="33">
        <v>2.8672E-2</v>
      </c>
      <c r="B87" s="33">
        <v>1.2020500000000001</v>
      </c>
      <c r="E87" s="2">
        <f t="shared" si="3"/>
        <v>1.2033302084149353</v>
      </c>
      <c r="F87">
        <f t="shared" si="2"/>
        <v>-1.2802084149352577E-3</v>
      </c>
      <c r="H87" s="1"/>
    </row>
    <row r="88" spans="1:8" x14ac:dyDescent="0.25">
      <c r="A88" s="33">
        <v>3.0720000000000001E-2</v>
      </c>
      <c r="B88" s="33">
        <v>1.2007399999999999</v>
      </c>
      <c r="E88" s="2">
        <f t="shared" si="3"/>
        <v>1.2014019708280765</v>
      </c>
      <c r="F88">
        <f t="shared" si="2"/>
        <v>-6.61970828076619E-4</v>
      </c>
      <c r="H88" s="1"/>
    </row>
    <row r="89" spans="1:8" x14ac:dyDescent="0.25">
      <c r="A89" s="33">
        <v>3.2767999999999999E-2</v>
      </c>
      <c r="B89" s="33">
        <v>1.1994899999999999</v>
      </c>
      <c r="E89" s="2">
        <f t="shared" si="3"/>
        <v>1.1995093238973276</v>
      </c>
      <c r="F89">
        <f t="shared" si="2"/>
        <v>-1.9323897327616635E-5</v>
      </c>
      <c r="H89" s="1"/>
    </row>
    <row r="90" spans="1:8" x14ac:dyDescent="0.25">
      <c r="A90" s="33">
        <v>3.6864000000000001E-2</v>
      </c>
      <c r="B90" s="33">
        <v>1.19537</v>
      </c>
      <c r="E90" s="2">
        <f t="shared" si="3"/>
        <v>1.1958269324811273</v>
      </c>
      <c r="F90">
        <f t="shared" si="2"/>
        <v>-4.5693248112721463E-4</v>
      </c>
      <c r="H90" s="1"/>
    </row>
    <row r="91" spans="1:8" x14ac:dyDescent="0.25">
      <c r="A91" s="33">
        <v>4.0960000000000003E-2</v>
      </c>
      <c r="B91" s="33">
        <v>1.19201</v>
      </c>
      <c r="E91" s="2">
        <f t="shared" si="3"/>
        <v>1.1922756410948829</v>
      </c>
      <c r="F91">
        <f t="shared" si="2"/>
        <v>-2.6564109488291798E-4</v>
      </c>
      <c r="H91" s="1"/>
    </row>
    <row r="92" spans="1:8" x14ac:dyDescent="0.25">
      <c r="A92" s="33">
        <v>4.5055999999999999E-2</v>
      </c>
      <c r="B92" s="33">
        <v>1.1884399999999999</v>
      </c>
      <c r="E92" s="2">
        <f t="shared" si="3"/>
        <v>1.1888485744313613</v>
      </c>
      <c r="F92">
        <f t="shared" si="2"/>
        <v>-4.0857443136133043E-4</v>
      </c>
      <c r="H92" s="1"/>
    </row>
    <row r="93" spans="1:8" x14ac:dyDescent="0.25">
      <c r="A93" s="33">
        <v>4.9152000000000001E-2</v>
      </c>
      <c r="B93" s="33">
        <v>1.1853199999999999</v>
      </c>
      <c r="E93" s="2">
        <f t="shared" si="3"/>
        <v>1.1855393297452919</v>
      </c>
      <c r="F93">
        <f t="shared" si="2"/>
        <v>-2.1932974529192961E-4</v>
      </c>
      <c r="H93" s="1"/>
    </row>
    <row r="94" spans="1:8" x14ac:dyDescent="0.25">
      <c r="A94" s="33">
        <v>5.3247999999999997E-2</v>
      </c>
      <c r="B94" s="33">
        <v>1.1824600000000001</v>
      </c>
      <c r="E94" s="2">
        <f t="shared" si="3"/>
        <v>1.1823419368707686</v>
      </c>
      <c r="F94">
        <f t="shared" si="2"/>
        <v>1.1806312923146045E-4</v>
      </c>
      <c r="H94" s="1"/>
    </row>
    <row r="95" spans="1:8" x14ac:dyDescent="0.25">
      <c r="A95" s="33">
        <v>5.7343999999999999E-2</v>
      </c>
      <c r="B95" s="33">
        <v>1.1791700000000001</v>
      </c>
      <c r="E95" s="2">
        <f t="shared" si="3"/>
        <v>1.1792508222889355</v>
      </c>
      <c r="F95">
        <f t="shared" si="2"/>
        <v>-8.0822288935467057E-5</v>
      </c>
      <c r="H95" s="1"/>
    </row>
    <row r="96" spans="1:8" x14ac:dyDescent="0.25">
      <c r="A96" s="33">
        <v>6.1440000000000002E-2</v>
      </c>
      <c r="B96" s="33">
        <v>1.1760999999999999</v>
      </c>
      <c r="E96" s="2">
        <f t="shared" si="3"/>
        <v>1.1762607767248343</v>
      </c>
      <c r="F96">
        <f t="shared" si="2"/>
        <v>-1.6077672483438832E-4</v>
      </c>
      <c r="H96" s="1"/>
    </row>
    <row r="97" spans="1:8" x14ac:dyDescent="0.25">
      <c r="A97" s="33">
        <v>6.5535999999999997E-2</v>
      </c>
      <c r="B97" s="33">
        <v>1.1732400000000001</v>
      </c>
      <c r="E97" s="2">
        <f t="shared" si="3"/>
        <v>1.1733669258703301</v>
      </c>
      <c r="F97">
        <f t="shared" si="2"/>
        <v>-1.2692587033003022E-4</v>
      </c>
      <c r="H97" s="1"/>
    </row>
    <row r="98" spans="1:8" x14ac:dyDescent="0.25">
      <c r="A98" s="33">
        <v>7.3728000000000002E-2</v>
      </c>
      <c r="B98" s="33">
        <v>1.16744</v>
      </c>
      <c r="E98" s="2">
        <f t="shared" si="3"/>
        <v>1.1678498293809572</v>
      </c>
      <c r="F98">
        <f t="shared" si="2"/>
        <v>-4.098293809571274E-4</v>
      </c>
      <c r="H98" s="1"/>
    </row>
    <row r="99" spans="1:8" x14ac:dyDescent="0.25">
      <c r="A99" s="33">
        <v>8.1920000000000007E-2</v>
      </c>
      <c r="B99" s="33">
        <v>1.1621900000000001</v>
      </c>
      <c r="E99" s="2">
        <f t="shared" si="3"/>
        <v>1.1626662905852407</v>
      </c>
      <c r="F99">
        <f t="shared" si="2"/>
        <v>-4.7629058524067958E-4</v>
      </c>
      <c r="H99" s="1"/>
    </row>
    <row r="100" spans="1:8" x14ac:dyDescent="0.25">
      <c r="A100" s="33">
        <v>9.0111999999999998E-2</v>
      </c>
      <c r="B100" s="33">
        <v>1.15791</v>
      </c>
      <c r="E100" s="2">
        <f t="shared" si="3"/>
        <v>1.1577869662617155</v>
      </c>
      <c r="F100">
        <f t="shared" si="2"/>
        <v>1.2303373828448372E-4</v>
      </c>
      <c r="H100" s="1"/>
    </row>
    <row r="101" spans="1:8" x14ac:dyDescent="0.25">
      <c r="A101" s="33">
        <v>9.8304000000000002E-2</v>
      </c>
      <c r="B101" s="33">
        <v>1.15343</v>
      </c>
      <c r="E101" s="2">
        <f t="shared" si="3"/>
        <v>1.1531858568393774</v>
      </c>
      <c r="F101">
        <f t="shared" si="2"/>
        <v>2.4414316062260077E-4</v>
      </c>
      <c r="H101" s="1"/>
    </row>
    <row r="102" spans="1:8" x14ac:dyDescent="0.25">
      <c r="A102" s="33">
        <v>0.10649599999999999</v>
      </c>
      <c r="B102" s="33">
        <v>1.1487499999999999</v>
      </c>
      <c r="E102" s="2">
        <f t="shared" si="3"/>
        <v>1.1488398433299205</v>
      </c>
      <c r="F102">
        <f t="shared" si="2"/>
        <v>-8.9843329920569204E-5</v>
      </c>
      <c r="H102" s="1"/>
    </row>
    <row r="103" spans="1:8" x14ac:dyDescent="0.25">
      <c r="A103" s="33">
        <v>0.114688</v>
      </c>
      <c r="B103" s="33">
        <v>1.14493</v>
      </c>
      <c r="E103" s="2">
        <f t="shared" si="3"/>
        <v>1.1447282991430741</v>
      </c>
      <c r="F103">
        <f t="shared" si="2"/>
        <v>2.0170085692594597E-4</v>
      </c>
      <c r="H103" s="1"/>
    </row>
    <row r="104" spans="1:8" x14ac:dyDescent="0.25">
      <c r="A104" s="33">
        <v>0.12288</v>
      </c>
      <c r="B104" s="33">
        <v>1.1408799999999999</v>
      </c>
      <c r="E104" s="2">
        <f t="shared" si="3"/>
        <v>1.1408327630281589</v>
      </c>
      <c r="F104">
        <f t="shared" si="2"/>
        <v>4.7236971840947106E-5</v>
      </c>
      <c r="H104" s="1"/>
    </row>
    <row r="105" spans="1:8" x14ac:dyDescent="0.25">
      <c r="A105" s="33">
        <v>0.13107199999999999</v>
      </c>
      <c r="B105" s="33">
        <v>1.1374599999999999</v>
      </c>
      <c r="E105" s="2">
        <f t="shared" si="3"/>
        <v>1.1371366621994656</v>
      </c>
      <c r="F105">
        <f t="shared" si="2"/>
        <v>3.2333780053428463E-4</v>
      </c>
      <c r="H105" s="1"/>
    </row>
    <row r="106" spans="1:8" x14ac:dyDescent="0.25">
      <c r="A106" s="33">
        <v>0.147456</v>
      </c>
      <c r="B106" s="33">
        <v>1.1307199999999999</v>
      </c>
      <c r="E106" s="2">
        <f t="shared" si="3"/>
        <v>1.1302845392501928</v>
      </c>
      <c r="F106">
        <f t="shared" si="2"/>
        <v>4.3546074980715943E-4</v>
      </c>
      <c r="H106" s="1"/>
    </row>
    <row r="107" spans="1:8" x14ac:dyDescent="0.25">
      <c r="A107" s="33">
        <v>0.16384000000000001</v>
      </c>
      <c r="B107" s="33">
        <v>1.1242099999999999</v>
      </c>
      <c r="E107" s="2">
        <f t="shared" si="3"/>
        <v>1.1240689847819889</v>
      </c>
      <c r="F107">
        <f t="shared" si="2"/>
        <v>1.4101521801102024E-4</v>
      </c>
      <c r="H107" s="1"/>
    </row>
    <row r="108" spans="1:8" x14ac:dyDescent="0.25">
      <c r="A108" s="33">
        <v>0.180224</v>
      </c>
      <c r="B108" s="33">
        <v>1.11863</v>
      </c>
      <c r="E108" s="2">
        <f t="shared" si="3"/>
        <v>1.118405312851565</v>
      </c>
      <c r="F108">
        <f t="shared" si="2"/>
        <v>2.2468714843504323E-4</v>
      </c>
      <c r="H108" s="1"/>
    </row>
    <row r="109" spans="1:8" x14ac:dyDescent="0.25">
      <c r="A109" s="33">
        <v>0.196608</v>
      </c>
      <c r="B109" s="33">
        <v>1.11331</v>
      </c>
      <c r="E109" s="2">
        <f t="shared" si="3"/>
        <v>1.1132232205864918</v>
      </c>
      <c r="F109">
        <f t="shared" si="2"/>
        <v>8.6779413508208947E-5</v>
      </c>
      <c r="H109" s="1"/>
    </row>
    <row r="110" spans="1:8" x14ac:dyDescent="0.25">
      <c r="A110" s="33">
        <v>0.21299199999999999</v>
      </c>
      <c r="B110" s="33">
        <v>1.1085499999999999</v>
      </c>
      <c r="E110" s="2">
        <f t="shared" si="3"/>
        <v>1.1084638590365288</v>
      </c>
      <c r="F110">
        <f t="shared" si="2"/>
        <v>8.6140963471148524E-5</v>
      </c>
      <c r="H110" s="1"/>
    </row>
    <row r="111" spans="1:8" x14ac:dyDescent="0.25">
      <c r="A111" s="33">
        <v>0.229376</v>
      </c>
      <c r="B111" s="33">
        <v>1.10422</v>
      </c>
      <c r="E111" s="2">
        <f t="shared" si="3"/>
        <v>1.1040775918438603</v>
      </c>
      <c r="F111">
        <f t="shared" si="2"/>
        <v>1.4240815613963953E-4</v>
      </c>
      <c r="H111" s="1"/>
    </row>
    <row r="112" spans="1:8" x14ac:dyDescent="0.25">
      <c r="A112" s="33">
        <v>0.24576000000000001</v>
      </c>
      <c r="B112" s="33">
        <v>1.1003799999999999</v>
      </c>
      <c r="E112" s="2">
        <f t="shared" si="3"/>
        <v>1.1000222603975005</v>
      </c>
      <c r="F112">
        <f t="shared" si="2"/>
        <v>3.5773960249940728E-4</v>
      </c>
      <c r="H112" s="1"/>
    </row>
    <row r="113" spans="1:8" x14ac:dyDescent="0.25">
      <c r="A113" s="33">
        <v>0.26214399999999999</v>
      </c>
      <c r="B113" s="33">
        <v>1.09667</v>
      </c>
      <c r="E113" s="2">
        <f t="shared" si="3"/>
        <v>1.0962618267902025</v>
      </c>
      <c r="F113">
        <f t="shared" si="2"/>
        <v>4.0817320979757987E-4</v>
      </c>
      <c r="H113" s="1"/>
    </row>
    <row r="114" spans="1:8" x14ac:dyDescent="0.25">
      <c r="A114" s="33">
        <v>0.29491200000000001</v>
      </c>
      <c r="B114" s="33">
        <v>1.0900799999999999</v>
      </c>
      <c r="E114" s="2">
        <f t="shared" si="3"/>
        <v>1.0895058914100124</v>
      </c>
      <c r="F114">
        <f t="shared" si="2"/>
        <v>5.741085899875209E-4</v>
      </c>
      <c r="H114" s="1"/>
    </row>
    <row r="115" spans="1:8" x14ac:dyDescent="0.25">
      <c r="A115" s="33">
        <v>0.32768000000000003</v>
      </c>
      <c r="B115" s="33">
        <v>1.08389</v>
      </c>
      <c r="E115" s="2">
        <f t="shared" si="3"/>
        <v>1.0836082199865169</v>
      </c>
      <c r="F115">
        <f t="shared" si="2"/>
        <v>2.8178001348311277E-4</v>
      </c>
      <c r="H115" s="1"/>
    </row>
    <row r="116" spans="1:8" x14ac:dyDescent="0.25">
      <c r="A116" s="33">
        <v>0.36044799999999999</v>
      </c>
      <c r="B116" s="33">
        <v>1.0786</v>
      </c>
      <c r="E116" s="2">
        <f t="shared" si="3"/>
        <v>1.078415308242725</v>
      </c>
      <c r="F116">
        <f t="shared" si="2"/>
        <v>1.8469175727497955E-4</v>
      </c>
      <c r="H116" s="1"/>
    </row>
    <row r="117" spans="1:8" x14ac:dyDescent="0.25">
      <c r="A117" s="33">
        <v>0.39321600000000001</v>
      </c>
      <c r="B117" s="33">
        <v>1.0735399999999999</v>
      </c>
      <c r="E117" s="2">
        <f t="shared" si="3"/>
        <v>1.0738081945586997</v>
      </c>
      <c r="F117">
        <f t="shared" si="2"/>
        <v>-2.6819455869975251E-4</v>
      </c>
      <c r="H117" s="1"/>
    </row>
    <row r="118" spans="1:8" x14ac:dyDescent="0.25">
      <c r="A118" s="33">
        <v>0.42598399999999997</v>
      </c>
      <c r="B118" s="33">
        <v>1.0697300000000001</v>
      </c>
      <c r="E118" s="2">
        <f t="shared" si="3"/>
        <v>1.0696932612520254</v>
      </c>
      <c r="F118">
        <f t="shared" si="2"/>
        <v>3.6738747974718322E-5</v>
      </c>
      <c r="H118" s="1"/>
    </row>
    <row r="119" spans="1:8" x14ac:dyDescent="0.25">
      <c r="A119" s="33">
        <v>0.45875199999999999</v>
      </c>
      <c r="B119" s="33">
        <v>1.0660700000000001</v>
      </c>
      <c r="E119" s="2">
        <f t="shared" si="3"/>
        <v>1.0659958267584622</v>
      </c>
      <c r="F119">
        <f t="shared" si="2"/>
        <v>7.4173241537911494E-5</v>
      </c>
      <c r="H119" s="1"/>
    </row>
    <row r="120" spans="1:8" x14ac:dyDescent="0.25">
      <c r="A120" s="33">
        <v>0.49152000000000001</v>
      </c>
      <c r="B120" s="33">
        <v>1.0624800000000001</v>
      </c>
      <c r="E120" s="2">
        <f t="shared" si="3"/>
        <v>1.0626555883740885</v>
      </c>
      <c r="F120">
        <f t="shared" si="2"/>
        <v>-1.7558837408837569E-4</v>
      </c>
      <c r="H120" s="1"/>
    </row>
    <row r="121" spans="1:8" x14ac:dyDescent="0.25">
      <c r="A121" s="33">
        <v>0.52428799999999998</v>
      </c>
      <c r="B121" s="33">
        <v>1.0595300000000001</v>
      </c>
      <c r="E121" s="2">
        <f t="shared" si="3"/>
        <v>1.0596233206819337</v>
      </c>
      <c r="F121">
        <f t="shared" si="2"/>
        <v>-9.3320681933573013E-5</v>
      </c>
      <c r="H121" s="1"/>
    </row>
    <row r="122" spans="1:8" x14ac:dyDescent="0.25">
      <c r="A122" s="33">
        <v>0.58982400000000001</v>
      </c>
      <c r="B122" s="33">
        <v>1.0540700000000001</v>
      </c>
      <c r="E122" s="2">
        <f t="shared" si="3"/>
        <v>1.0543272049350223</v>
      </c>
      <c r="F122">
        <f t="shared" si="2"/>
        <v>-2.5720493502223718E-4</v>
      </c>
      <c r="H122" s="1"/>
    </row>
    <row r="123" spans="1:8" x14ac:dyDescent="0.25">
      <c r="A123" s="33">
        <v>0.65536000000000005</v>
      </c>
      <c r="B123" s="33">
        <v>1.0496399999999999</v>
      </c>
      <c r="E123" s="2">
        <f t="shared" si="3"/>
        <v>1.0498568218147055</v>
      </c>
      <c r="F123">
        <f t="shared" si="2"/>
        <v>-2.1682181470561446E-4</v>
      </c>
      <c r="H123" s="1"/>
    </row>
    <row r="124" spans="1:8" x14ac:dyDescent="0.25">
      <c r="A124" s="33">
        <v>0.72089599999999998</v>
      </c>
      <c r="B124" s="33">
        <v>1.04599</v>
      </c>
      <c r="E124" s="2">
        <f t="shared" si="3"/>
        <v>1.0460337113574019</v>
      </c>
      <c r="F124">
        <f t="shared" si="2"/>
        <v>-4.3711357401887696E-5</v>
      </c>
      <c r="H124" s="1"/>
    </row>
    <row r="125" spans="1:8" x14ac:dyDescent="0.25">
      <c r="A125" s="33">
        <v>0.78643200000000002</v>
      </c>
      <c r="B125" s="33">
        <v>1.0425199999999999</v>
      </c>
      <c r="E125" s="2">
        <f t="shared" si="3"/>
        <v>1.0427273640969981</v>
      </c>
      <c r="F125">
        <f t="shared" si="2"/>
        <v>-2.0736409699817493E-4</v>
      </c>
      <c r="H125" s="1"/>
    </row>
    <row r="126" spans="1:8" x14ac:dyDescent="0.25">
      <c r="A126" s="33">
        <v>0.85196799999999995</v>
      </c>
      <c r="B126" s="33">
        <v>1.03975</v>
      </c>
      <c r="E126" s="2">
        <f t="shared" si="3"/>
        <v>1.0398401306967382</v>
      </c>
      <c r="F126">
        <f t="shared" si="2"/>
        <v>-9.0130696738244254E-5</v>
      </c>
      <c r="H126" s="1"/>
    </row>
    <row r="127" spans="1:8" x14ac:dyDescent="0.25">
      <c r="A127" s="33">
        <v>0.91750399999999999</v>
      </c>
      <c r="B127" s="33">
        <v>1.03728</v>
      </c>
      <c r="E127" s="2">
        <f t="shared" si="3"/>
        <v>1.0372974929506142</v>
      </c>
      <c r="F127">
        <f t="shared" si="2"/>
        <v>-1.7492950614261815E-5</v>
      </c>
      <c r="H127" s="1"/>
    </row>
    <row r="128" spans="1:8" x14ac:dyDescent="0.25">
      <c r="A128" s="33">
        <v>0.98304000000000002</v>
      </c>
      <c r="B128" s="33">
        <v>1.0351300000000001</v>
      </c>
      <c r="E128" s="2">
        <f t="shared" si="3"/>
        <v>1.03504159811153</v>
      </c>
      <c r="F128">
        <f t="shared" si="2"/>
        <v>8.8401888470146517E-5</v>
      </c>
      <c r="H128" s="1"/>
    </row>
    <row r="129" spans="1:8" x14ac:dyDescent="0.25">
      <c r="A129" s="33">
        <v>1.048576</v>
      </c>
      <c r="B129" s="33">
        <v>1.0331399999999999</v>
      </c>
      <c r="E129" s="2">
        <f t="shared" si="3"/>
        <v>1.0330268471325421</v>
      </c>
      <c r="F129">
        <f t="shared" si="2"/>
        <v>1.1315286745783304E-4</v>
      </c>
      <c r="H129" s="1"/>
    </row>
    <row r="130" spans="1:8" x14ac:dyDescent="0.25">
      <c r="A130" s="33">
        <v>1.179648</v>
      </c>
      <c r="B130" s="33">
        <v>1.0295700000000001</v>
      </c>
      <c r="E130" s="2">
        <f t="shared" si="3"/>
        <v>1.0295820494108379</v>
      </c>
      <c r="F130">
        <f t="shared" ref="F130:F193" si="4">B130-E130</f>
        <v>-1.2049410837766672E-5</v>
      </c>
      <c r="H130" s="1"/>
    </row>
    <row r="131" spans="1:8" x14ac:dyDescent="0.25">
      <c r="A131" s="33">
        <v>1.3107200000000001</v>
      </c>
      <c r="B131" s="33">
        <v>1.02671</v>
      </c>
      <c r="E131" s="2">
        <f t="shared" ref="E131:E194" si="5">$D$2+1/$D$3*($D$8/(1+A131/$D$4)/SQRT(1+A131/$D$4/$D$5/$D$5)+(1-$D$8)/(1+A131/$D$6)/SQRT(1+A131/$D$6/$D$7/$D$7))*(1+$D$9*EXP(-A131/$D$10)+$D$11*EXP(-A131/$D$12))</f>
        <v>1.0267462707143209</v>
      </c>
      <c r="F131">
        <f t="shared" si="4"/>
        <v>-3.6270714320885133E-5</v>
      </c>
      <c r="H131" s="1"/>
    </row>
    <row r="132" spans="1:8" x14ac:dyDescent="0.25">
      <c r="A132" s="33">
        <v>1.441792</v>
      </c>
      <c r="B132" s="33">
        <v>1.02458</v>
      </c>
      <c r="E132" s="2">
        <f t="shared" si="5"/>
        <v>1.0243723991897529</v>
      </c>
      <c r="F132">
        <f t="shared" si="4"/>
        <v>2.0760081024717714E-4</v>
      </c>
      <c r="H132" s="1"/>
    </row>
    <row r="133" spans="1:8" x14ac:dyDescent="0.25">
      <c r="A133" s="33">
        <v>1.572864</v>
      </c>
      <c r="B133" s="33">
        <v>1.0228200000000001</v>
      </c>
      <c r="E133" s="2">
        <f t="shared" si="5"/>
        <v>1.0223571099357032</v>
      </c>
      <c r="F133">
        <f t="shared" si="4"/>
        <v>4.6289006429689472E-4</v>
      </c>
      <c r="H133" s="1"/>
    </row>
    <row r="134" spans="1:8" x14ac:dyDescent="0.25">
      <c r="A134" s="33">
        <v>1.7039359999999999</v>
      </c>
      <c r="B134" s="33">
        <v>1.02102</v>
      </c>
      <c r="E134" s="2">
        <f t="shared" si="5"/>
        <v>1.0206257062631368</v>
      </c>
      <c r="F134">
        <f t="shared" si="4"/>
        <v>3.9429373686328262E-4</v>
      </c>
      <c r="H134" s="1"/>
    </row>
    <row r="135" spans="1:8" x14ac:dyDescent="0.25">
      <c r="A135" s="33">
        <v>1.835008</v>
      </c>
      <c r="B135" s="33">
        <v>1.01942</v>
      </c>
      <c r="E135" s="2">
        <f t="shared" si="5"/>
        <v>1.0191228502554501</v>
      </c>
      <c r="F135">
        <f t="shared" si="4"/>
        <v>2.9714974454986276E-4</v>
      </c>
      <c r="H135" s="1"/>
    </row>
    <row r="136" spans="1:8" x14ac:dyDescent="0.25">
      <c r="A136" s="33">
        <v>1.96608</v>
      </c>
      <c r="B136" s="33">
        <v>1.01799</v>
      </c>
      <c r="E136" s="2">
        <f t="shared" si="5"/>
        <v>1.0178066756107689</v>
      </c>
      <c r="F136">
        <f t="shared" si="4"/>
        <v>1.8332438923107652E-4</v>
      </c>
      <c r="H136" s="1"/>
    </row>
    <row r="137" spans="1:8" x14ac:dyDescent="0.25">
      <c r="A137" s="33">
        <v>2.0971519999999999</v>
      </c>
      <c r="B137" s="33">
        <v>1.0168600000000001</v>
      </c>
      <c r="E137" s="2">
        <f t="shared" si="5"/>
        <v>1.0166449254978236</v>
      </c>
      <c r="F137">
        <f t="shared" si="4"/>
        <v>2.1507450217650437E-4</v>
      </c>
      <c r="H137" s="1"/>
    </row>
    <row r="138" spans="1:8" x14ac:dyDescent="0.25">
      <c r="A138" s="33">
        <v>2.3592960000000001</v>
      </c>
      <c r="B138" s="33">
        <v>1.01474</v>
      </c>
      <c r="E138" s="2">
        <f t="shared" si="5"/>
        <v>1.0146888888835794</v>
      </c>
      <c r="F138">
        <f t="shared" si="4"/>
        <v>5.1111116420532454E-5</v>
      </c>
      <c r="H138" s="1"/>
    </row>
    <row r="139" spans="1:8" x14ac:dyDescent="0.25">
      <c r="A139" s="33">
        <v>2.6214400000000002</v>
      </c>
      <c r="B139" s="33">
        <v>1.0131600000000001</v>
      </c>
      <c r="E139" s="2">
        <f t="shared" si="5"/>
        <v>1.0131078619551355</v>
      </c>
      <c r="F139">
        <f t="shared" si="4"/>
        <v>5.2138044864591393E-5</v>
      </c>
      <c r="H139" s="1"/>
    </row>
    <row r="140" spans="1:8" x14ac:dyDescent="0.25">
      <c r="A140" s="33">
        <v>2.8835839999999999</v>
      </c>
      <c r="B140" s="33">
        <v>1.01214</v>
      </c>
      <c r="E140" s="2">
        <f t="shared" si="5"/>
        <v>1.0118051694353736</v>
      </c>
      <c r="F140">
        <f t="shared" si="4"/>
        <v>3.3483056462646488E-4</v>
      </c>
      <c r="H140" s="1"/>
    </row>
    <row r="141" spans="1:8" x14ac:dyDescent="0.25">
      <c r="A141" s="33">
        <v>3.1457280000000001</v>
      </c>
      <c r="B141" s="33">
        <v>1.01088</v>
      </c>
      <c r="E141" s="2">
        <f t="shared" si="5"/>
        <v>1.0107145983337547</v>
      </c>
      <c r="F141">
        <f t="shared" si="4"/>
        <v>1.6540166624534614E-4</v>
      </c>
      <c r="H141" s="1"/>
    </row>
    <row r="142" spans="1:8" x14ac:dyDescent="0.25">
      <c r="A142" s="33">
        <v>3.4078719999999998</v>
      </c>
      <c r="B142" s="33">
        <v>1.0096799999999999</v>
      </c>
      <c r="E142" s="2">
        <f t="shared" si="5"/>
        <v>1.0097892903033159</v>
      </c>
      <c r="F142">
        <f t="shared" si="4"/>
        <v>-1.0929030331596756E-4</v>
      </c>
      <c r="H142" s="1"/>
    </row>
    <row r="143" spans="1:8" x14ac:dyDescent="0.25">
      <c r="A143" s="33">
        <v>3.6700159999999999</v>
      </c>
      <c r="B143" s="33">
        <v>1.0089600000000001</v>
      </c>
      <c r="E143" s="2">
        <f t="shared" si="5"/>
        <v>1.0089951620706814</v>
      </c>
      <c r="F143">
        <f t="shared" si="4"/>
        <v>-3.5162070681327151E-5</v>
      </c>
      <c r="H143" s="1"/>
    </row>
    <row r="144" spans="1:8" x14ac:dyDescent="0.25">
      <c r="A144" s="33">
        <v>3.9321600000000001</v>
      </c>
      <c r="B144" s="33">
        <v>1.0081599999999999</v>
      </c>
      <c r="E144" s="2">
        <f t="shared" si="5"/>
        <v>1.0083068376935034</v>
      </c>
      <c r="F144">
        <f t="shared" si="4"/>
        <v>-1.4683769350343212E-4</v>
      </c>
      <c r="H144" s="1"/>
    </row>
    <row r="145" spans="1:8" x14ac:dyDescent="0.25">
      <c r="A145" s="33">
        <v>4.1943039999999998</v>
      </c>
      <c r="B145" s="33">
        <v>1.00743</v>
      </c>
      <c r="E145" s="2">
        <f t="shared" si="5"/>
        <v>1.0077050410300608</v>
      </c>
      <c r="F145">
        <f t="shared" si="4"/>
        <v>-2.7504103006070757E-4</v>
      </c>
      <c r="H145" s="1"/>
    </row>
    <row r="146" spans="1:8" x14ac:dyDescent="0.25">
      <c r="A146" s="33">
        <v>4.7185920000000001</v>
      </c>
      <c r="B146" s="33">
        <v>1.0063</v>
      </c>
      <c r="E146" s="2">
        <f t="shared" si="5"/>
        <v>1.0067046331144107</v>
      </c>
      <c r="F146">
        <f t="shared" si="4"/>
        <v>-4.0463311441074623E-4</v>
      </c>
      <c r="H146" s="1"/>
    </row>
    <row r="147" spans="1:8" x14ac:dyDescent="0.25">
      <c r="A147" s="33">
        <v>5.2428800000000004</v>
      </c>
      <c r="B147" s="33">
        <v>1.00539</v>
      </c>
      <c r="E147" s="2">
        <f t="shared" si="5"/>
        <v>1.0059085356537403</v>
      </c>
      <c r="F147">
        <f t="shared" si="4"/>
        <v>-5.1853565374027077E-4</v>
      </c>
      <c r="H147" s="1"/>
    </row>
    <row r="148" spans="1:8" x14ac:dyDescent="0.25">
      <c r="A148" s="33">
        <v>5.7671679999999999</v>
      </c>
      <c r="B148" s="33">
        <v>1.00478</v>
      </c>
      <c r="E148" s="2">
        <f t="shared" si="5"/>
        <v>1.0052616352449888</v>
      </c>
      <c r="F148">
        <f t="shared" si="4"/>
        <v>-4.8163524498878729E-4</v>
      </c>
      <c r="H148" s="1"/>
    </row>
    <row r="149" spans="1:8" x14ac:dyDescent="0.25">
      <c r="A149" s="33">
        <v>6.2914560000000002</v>
      </c>
      <c r="B149" s="33">
        <v>1.00413</v>
      </c>
      <c r="E149" s="2">
        <f t="shared" si="5"/>
        <v>1.0047268160590488</v>
      </c>
      <c r="F149">
        <f t="shared" si="4"/>
        <v>-5.968160590488214E-4</v>
      </c>
      <c r="H149" s="1"/>
    </row>
    <row r="150" spans="1:8" x14ac:dyDescent="0.25">
      <c r="A150" s="33">
        <v>6.8157439999999996</v>
      </c>
      <c r="B150" s="33">
        <v>1.0039199999999999</v>
      </c>
      <c r="E150" s="2">
        <f t="shared" si="5"/>
        <v>1.0042781964013394</v>
      </c>
      <c r="F150">
        <f t="shared" si="4"/>
        <v>-3.5819640133949449E-4</v>
      </c>
      <c r="H150" s="1"/>
    </row>
    <row r="151" spans="1:8" x14ac:dyDescent="0.25">
      <c r="A151" s="33">
        <v>7.3400319999999999</v>
      </c>
      <c r="B151" s="33">
        <v>1.0035400000000001</v>
      </c>
      <c r="E151" s="2">
        <f t="shared" si="5"/>
        <v>1.0038971968345771</v>
      </c>
      <c r="F151">
        <f t="shared" si="4"/>
        <v>-3.5719683457702267E-4</v>
      </c>
      <c r="H151" s="1"/>
    </row>
    <row r="152" spans="1:8" x14ac:dyDescent="0.25">
      <c r="A152" s="33">
        <v>7.8643200000000002</v>
      </c>
      <c r="B152" s="33">
        <v>1.00332</v>
      </c>
      <c r="E152" s="2">
        <f t="shared" si="5"/>
        <v>1.0035701481615249</v>
      </c>
      <c r="F152">
        <f t="shared" si="4"/>
        <v>-2.5014816152491015E-4</v>
      </c>
      <c r="H152" s="1"/>
    </row>
    <row r="153" spans="1:8" x14ac:dyDescent="0.25">
      <c r="A153" s="33">
        <v>8.3886079999999996</v>
      </c>
      <c r="B153" s="33">
        <v>1.0030699999999999</v>
      </c>
      <c r="E153" s="2">
        <f t="shared" si="5"/>
        <v>1.0032867795218521</v>
      </c>
      <c r="F153">
        <f t="shared" si="4"/>
        <v>-2.1677952185217286E-4</v>
      </c>
      <c r="H153" s="1"/>
    </row>
    <row r="154" spans="1:8" x14ac:dyDescent="0.25">
      <c r="A154" s="33">
        <v>9.4371840000000002</v>
      </c>
      <c r="B154" s="33">
        <v>1.0027699999999999</v>
      </c>
      <c r="E154" s="2">
        <f t="shared" si="5"/>
        <v>1.0028213910162602</v>
      </c>
      <c r="F154">
        <f t="shared" si="4"/>
        <v>-5.139101626028264E-5</v>
      </c>
      <c r="H154" s="1"/>
    </row>
    <row r="155" spans="1:8" x14ac:dyDescent="0.25">
      <c r="A155" s="33">
        <v>10.485760000000001</v>
      </c>
      <c r="B155" s="33">
        <v>1.0019100000000001</v>
      </c>
      <c r="E155" s="2">
        <f t="shared" si="5"/>
        <v>1.0024565243865757</v>
      </c>
      <c r="F155">
        <f t="shared" si="4"/>
        <v>-5.4652438657565305E-4</v>
      </c>
      <c r="H155" s="1"/>
    </row>
    <row r="156" spans="1:8" x14ac:dyDescent="0.25">
      <c r="A156" s="33">
        <v>11.534336</v>
      </c>
      <c r="B156" s="33">
        <v>1.0015000000000001</v>
      </c>
      <c r="E156" s="2">
        <f t="shared" si="5"/>
        <v>1.002163940816384</v>
      </c>
      <c r="F156">
        <f t="shared" si="4"/>
        <v>-6.6394081638398994E-4</v>
      </c>
      <c r="H156" s="1"/>
    </row>
    <row r="157" spans="1:8" x14ac:dyDescent="0.25">
      <c r="A157" s="33">
        <v>12.582912</v>
      </c>
      <c r="B157" s="33">
        <v>1.00162</v>
      </c>
      <c r="E157" s="2">
        <f t="shared" si="5"/>
        <v>1.0019249094850378</v>
      </c>
      <c r="F157">
        <f t="shared" si="4"/>
        <v>-3.0490948503780757E-4</v>
      </c>
      <c r="H157" s="1"/>
    </row>
    <row r="158" spans="1:8" x14ac:dyDescent="0.25">
      <c r="A158" s="33">
        <v>13.631487999999999</v>
      </c>
      <c r="B158" s="33">
        <v>1.0020100000000001</v>
      </c>
      <c r="E158" s="2">
        <f t="shared" si="5"/>
        <v>1.0017265475526869</v>
      </c>
      <c r="F158">
        <f t="shared" si="4"/>
        <v>2.8345244731320385E-4</v>
      </c>
      <c r="H158" s="1"/>
    </row>
    <row r="159" spans="1:8" x14ac:dyDescent="0.25">
      <c r="A159" s="33">
        <v>14.680064</v>
      </c>
      <c r="B159" s="33">
        <v>1.0016</v>
      </c>
      <c r="E159" s="2">
        <f t="shared" si="5"/>
        <v>1.0015597228115289</v>
      </c>
      <c r="F159">
        <f t="shared" si="4"/>
        <v>4.0277188471105063E-5</v>
      </c>
      <c r="H159" s="1"/>
    </row>
    <row r="160" spans="1:8" x14ac:dyDescent="0.25">
      <c r="A160" s="33">
        <v>15.72864</v>
      </c>
      <c r="B160" s="33">
        <v>1.00116</v>
      </c>
      <c r="E160" s="2">
        <f t="shared" si="5"/>
        <v>1.0014177942342701</v>
      </c>
      <c r="F160">
        <f t="shared" si="4"/>
        <v>-2.5779423427008119E-4</v>
      </c>
      <c r="H160" s="1"/>
    </row>
    <row r="161" spans="1:8" x14ac:dyDescent="0.25">
      <c r="A161" s="33">
        <v>16.777215999999999</v>
      </c>
      <c r="B161" s="33">
        <v>1.0010600000000001</v>
      </c>
      <c r="E161" s="2">
        <f t="shared" si="5"/>
        <v>1.0012958253763971</v>
      </c>
      <c r="F161">
        <f t="shared" si="4"/>
        <v>-2.3582537639699197E-4</v>
      </c>
      <c r="H161" s="1"/>
    </row>
    <row r="162" spans="1:8" x14ac:dyDescent="0.25">
      <c r="A162" s="33">
        <v>18.874368</v>
      </c>
      <c r="B162" s="33">
        <v>1.00146</v>
      </c>
      <c r="E162" s="2">
        <f t="shared" si="5"/>
        <v>1.0010976662616609</v>
      </c>
      <c r="F162">
        <f t="shared" si="4"/>
        <v>3.6233373833916005E-4</v>
      </c>
      <c r="H162" s="1"/>
    </row>
    <row r="163" spans="1:8" x14ac:dyDescent="0.25">
      <c r="A163" s="33">
        <v>20.971520000000002</v>
      </c>
      <c r="B163" s="33">
        <v>1.0012000000000001</v>
      </c>
      <c r="E163" s="2">
        <f t="shared" si="5"/>
        <v>1.0009443217101304</v>
      </c>
      <c r="F163">
        <f t="shared" si="4"/>
        <v>2.5567828986972074E-4</v>
      </c>
      <c r="H163" s="1"/>
    </row>
    <row r="164" spans="1:8" x14ac:dyDescent="0.25">
      <c r="A164" s="33">
        <v>23.068671999999999</v>
      </c>
      <c r="B164" s="33">
        <v>1.0006600000000001</v>
      </c>
      <c r="E164" s="2">
        <f t="shared" si="5"/>
        <v>1.0008227389755231</v>
      </c>
      <c r="F164">
        <f t="shared" si="4"/>
        <v>-1.6273897552299132E-4</v>
      </c>
      <c r="H164" s="1"/>
    </row>
    <row r="165" spans="1:8" x14ac:dyDescent="0.25">
      <c r="A165" s="33">
        <v>25.165824000000001</v>
      </c>
      <c r="B165" s="33">
        <v>1.00071</v>
      </c>
      <c r="E165" s="2">
        <f t="shared" si="5"/>
        <v>1.0007243891211075</v>
      </c>
      <c r="F165">
        <f t="shared" si="4"/>
        <v>-1.4389121107516445E-5</v>
      </c>
      <c r="H165" s="1"/>
    </row>
    <row r="166" spans="1:8" x14ac:dyDescent="0.25">
      <c r="A166" s="33">
        <v>27.262975999999998</v>
      </c>
      <c r="B166" s="33">
        <v>1.0005999999999999</v>
      </c>
      <c r="E166" s="2">
        <f t="shared" si="5"/>
        <v>1.0006434841488674</v>
      </c>
      <c r="F166">
        <f t="shared" si="4"/>
        <v>-4.348414886745644E-5</v>
      </c>
      <c r="H166" s="1"/>
    </row>
    <row r="167" spans="1:8" x14ac:dyDescent="0.25">
      <c r="A167" s="33">
        <v>29.360128</v>
      </c>
      <c r="B167" s="33">
        <v>1.0009699999999999</v>
      </c>
      <c r="E167" s="2">
        <f t="shared" si="5"/>
        <v>1.0005759703006549</v>
      </c>
      <c r="F167">
        <f t="shared" si="4"/>
        <v>3.9402969934498877E-4</v>
      </c>
      <c r="H167" s="1"/>
    </row>
    <row r="168" spans="1:8" x14ac:dyDescent="0.25">
      <c r="A168" s="33">
        <v>31.457280000000001</v>
      </c>
      <c r="B168" s="33">
        <v>1.00092</v>
      </c>
      <c r="E168" s="2">
        <f t="shared" si="5"/>
        <v>1.0005189316062446</v>
      </c>
      <c r="F168">
        <f t="shared" si="4"/>
        <v>4.0106839375542158E-4</v>
      </c>
      <c r="H168" s="1"/>
    </row>
    <row r="169" spans="1:8" x14ac:dyDescent="0.25">
      <c r="A169" s="33">
        <v>33.554431999999998</v>
      </c>
      <c r="B169" s="33">
        <v>1.0004900000000001</v>
      </c>
      <c r="E169" s="2">
        <f t="shared" si="5"/>
        <v>1.0004702219207411</v>
      </c>
      <c r="F169">
        <f t="shared" si="4"/>
        <v>1.9778079259014092E-5</v>
      </c>
      <c r="H169" s="1"/>
    </row>
    <row r="170" spans="1:8" x14ac:dyDescent="0.25">
      <c r="A170" s="33">
        <v>37.748736000000001</v>
      </c>
      <c r="B170" s="33">
        <v>1.00014</v>
      </c>
      <c r="E170" s="2">
        <f t="shared" si="5"/>
        <v>1.0003917247385392</v>
      </c>
      <c r="F170">
        <f t="shared" si="4"/>
        <v>-2.5172473853918298E-4</v>
      </c>
      <c r="H170" s="1"/>
    </row>
    <row r="171" spans="1:8" x14ac:dyDescent="0.25">
      <c r="A171" s="33">
        <v>41.943040000000003</v>
      </c>
      <c r="B171" s="33">
        <v>1.0002200000000001</v>
      </c>
      <c r="E171" s="2">
        <f t="shared" si="5"/>
        <v>1.0003315581304544</v>
      </c>
      <c r="F171">
        <f t="shared" si="4"/>
        <v>-1.115581304542701E-4</v>
      </c>
      <c r="H171" s="1"/>
    </row>
    <row r="172" spans="1:8" x14ac:dyDescent="0.25">
      <c r="A172" s="33">
        <v>46.137343999999999</v>
      </c>
      <c r="B172" s="33">
        <v>1.00058</v>
      </c>
      <c r="E172" s="2">
        <f t="shared" si="5"/>
        <v>1.0002842372273242</v>
      </c>
      <c r="F172">
        <f t="shared" si="4"/>
        <v>2.9576277267584494E-4</v>
      </c>
      <c r="H172" s="1"/>
    </row>
    <row r="173" spans="1:8" x14ac:dyDescent="0.25">
      <c r="A173" s="33">
        <v>50.331648000000001</v>
      </c>
      <c r="B173" s="33">
        <v>1.0002800000000001</v>
      </c>
      <c r="E173" s="2">
        <f t="shared" si="5"/>
        <v>1.0002462222449047</v>
      </c>
      <c r="F173">
        <f t="shared" si="4"/>
        <v>3.3777755095387718E-5</v>
      </c>
      <c r="H173" s="1"/>
    </row>
    <row r="174" spans="1:8" x14ac:dyDescent="0.25">
      <c r="A174" s="33">
        <v>54.525951999999997</v>
      </c>
      <c r="B174" s="33">
        <v>1.0002599999999999</v>
      </c>
      <c r="E174" s="2">
        <f t="shared" si="5"/>
        <v>1.0002151366097209</v>
      </c>
      <c r="F174">
        <f t="shared" si="4"/>
        <v>4.4863390278981896E-5</v>
      </c>
      <c r="H174" s="1"/>
    </row>
    <row r="175" spans="1:8" x14ac:dyDescent="0.25">
      <c r="A175" s="33">
        <v>58.720255999999999</v>
      </c>
      <c r="B175" s="33">
        <v>1.0005599999999999</v>
      </c>
      <c r="E175" s="2">
        <f t="shared" si="5"/>
        <v>1.0001893313712611</v>
      </c>
      <c r="F175">
        <f t="shared" si="4"/>
        <v>3.7066862873880169E-4</v>
      </c>
      <c r="H175" s="1"/>
    </row>
    <row r="176" spans="1:8" x14ac:dyDescent="0.25">
      <c r="A176" s="33">
        <v>62.914560000000002</v>
      </c>
      <c r="B176" s="33">
        <v>1.0006900000000001</v>
      </c>
      <c r="E176" s="2">
        <f t="shared" si="5"/>
        <v>1.0001676301667315</v>
      </c>
      <c r="F176">
        <f t="shared" si="4"/>
        <v>5.2236983326858777E-4</v>
      </c>
      <c r="H176" s="1"/>
    </row>
    <row r="177" spans="1:8" x14ac:dyDescent="0.25">
      <c r="A177" s="33">
        <v>67.108863999999997</v>
      </c>
      <c r="B177" s="33">
        <v>1.0004200000000001</v>
      </c>
      <c r="E177" s="2">
        <f t="shared" si="5"/>
        <v>1.0001491735349541</v>
      </c>
      <c r="F177">
        <f t="shared" si="4"/>
        <v>2.7082646504594798E-4</v>
      </c>
      <c r="H177" s="1"/>
    </row>
    <row r="178" spans="1:8" x14ac:dyDescent="0.25">
      <c r="A178" s="33">
        <v>75.497472000000002</v>
      </c>
      <c r="B178" s="33">
        <v>1.00017</v>
      </c>
      <c r="E178" s="2">
        <f t="shared" si="5"/>
        <v>1.0001195840150201</v>
      </c>
      <c r="F178">
        <f t="shared" si="4"/>
        <v>5.0415984979901296E-5</v>
      </c>
      <c r="H178" s="1"/>
    </row>
    <row r="179" spans="1:8" x14ac:dyDescent="0.25">
      <c r="A179" s="33">
        <v>83.886080000000007</v>
      </c>
      <c r="B179" s="33">
        <v>0.99990000000000001</v>
      </c>
      <c r="E179" s="2">
        <f t="shared" si="5"/>
        <v>1.0000970399962037</v>
      </c>
      <c r="F179">
        <f t="shared" si="4"/>
        <v>-1.9703999620368506E-4</v>
      </c>
      <c r="H179" s="1"/>
    </row>
    <row r="180" spans="1:8" x14ac:dyDescent="0.25">
      <c r="A180" s="33">
        <v>92.274687999999998</v>
      </c>
      <c r="B180" s="33">
        <v>0.99992000000000003</v>
      </c>
      <c r="E180" s="2">
        <f t="shared" si="5"/>
        <v>1.0000793971367907</v>
      </c>
      <c r="F180">
        <f t="shared" si="4"/>
        <v>-1.5939713679069545E-4</v>
      </c>
      <c r="H180" s="1"/>
    </row>
    <row r="181" spans="1:8" x14ac:dyDescent="0.25">
      <c r="A181" s="33">
        <v>100.663296</v>
      </c>
      <c r="B181" s="33">
        <v>0.99988500000000002</v>
      </c>
      <c r="E181" s="2">
        <f t="shared" si="5"/>
        <v>1.0000652830620569</v>
      </c>
      <c r="F181">
        <f t="shared" si="4"/>
        <v>-1.8028306205686295E-4</v>
      </c>
      <c r="H181" s="1"/>
    </row>
    <row r="182" spans="1:8" x14ac:dyDescent="0.25">
      <c r="A182" s="33">
        <v>109.05190399999999</v>
      </c>
      <c r="B182" s="33">
        <v>0.99999099999999996</v>
      </c>
      <c r="E182" s="2">
        <f t="shared" si="5"/>
        <v>1.0000537828635494</v>
      </c>
      <c r="F182">
        <f t="shared" si="4"/>
        <v>-6.2782863549437629E-5</v>
      </c>
      <c r="H182" s="1"/>
    </row>
    <row r="183" spans="1:8" x14ac:dyDescent="0.25">
      <c r="A183" s="33">
        <v>117.440512</v>
      </c>
      <c r="B183" s="33">
        <v>0.99971900000000002</v>
      </c>
      <c r="E183" s="2">
        <f t="shared" si="5"/>
        <v>1.0000442655772097</v>
      </c>
      <c r="F183">
        <f t="shared" si="4"/>
        <v>-3.2526557720968796E-4</v>
      </c>
      <c r="H183" s="1"/>
    </row>
    <row r="184" spans="1:8" x14ac:dyDescent="0.25">
      <c r="A184" s="33">
        <v>125.82912</v>
      </c>
      <c r="B184" s="33">
        <v>1.0003899999999999</v>
      </c>
      <c r="E184" s="2">
        <f t="shared" si="5"/>
        <v>1.000036283427771</v>
      </c>
      <c r="F184">
        <f t="shared" si="4"/>
        <v>3.5371657222893482E-4</v>
      </c>
      <c r="H184" s="1"/>
    </row>
    <row r="185" spans="1:8" x14ac:dyDescent="0.25">
      <c r="A185" s="33">
        <v>134.21772799999999</v>
      </c>
      <c r="B185" s="33">
        <v>1.00027</v>
      </c>
      <c r="E185" s="2">
        <f t="shared" si="5"/>
        <v>1.0000295107647028</v>
      </c>
      <c r="F185">
        <f t="shared" si="4"/>
        <v>2.4048923529718103E-4</v>
      </c>
      <c r="H185" s="1"/>
    </row>
    <row r="186" spans="1:8" x14ac:dyDescent="0.25">
      <c r="A186" s="33">
        <v>150.994944</v>
      </c>
      <c r="B186" s="33">
        <v>1.00024</v>
      </c>
      <c r="E186" s="2">
        <f t="shared" si="5"/>
        <v>1.0000186851075716</v>
      </c>
      <c r="F186">
        <f t="shared" si="4"/>
        <v>2.2131489242838143E-4</v>
      </c>
      <c r="H186" s="1"/>
    </row>
    <row r="187" spans="1:8" x14ac:dyDescent="0.25">
      <c r="A187" s="33">
        <v>167.77216000000001</v>
      </c>
      <c r="B187" s="33">
        <v>1.0002500000000001</v>
      </c>
      <c r="E187" s="2">
        <f t="shared" si="5"/>
        <v>1.000010465150871</v>
      </c>
      <c r="F187">
        <f t="shared" si="4"/>
        <v>2.3953484912908607E-4</v>
      </c>
      <c r="H187" s="1"/>
    </row>
    <row r="188" spans="1:8" x14ac:dyDescent="0.25">
      <c r="A188" s="33">
        <v>184.549376</v>
      </c>
      <c r="B188" s="33">
        <v>1.00023</v>
      </c>
      <c r="E188" s="2">
        <f t="shared" si="5"/>
        <v>1.0000040501436651</v>
      </c>
      <c r="F188">
        <f t="shared" si="4"/>
        <v>2.2594985633483944E-4</v>
      </c>
      <c r="H188" s="1"/>
    </row>
    <row r="189" spans="1:8" x14ac:dyDescent="0.25">
      <c r="A189" s="33">
        <v>201.32659200000001</v>
      </c>
      <c r="B189" s="33">
        <v>1.0002200000000001</v>
      </c>
      <c r="E189" s="2">
        <f t="shared" si="5"/>
        <v>0.99999893012353513</v>
      </c>
      <c r="F189">
        <f t="shared" si="4"/>
        <v>2.2106987646497434E-4</v>
      </c>
      <c r="H189" s="1"/>
    </row>
    <row r="190" spans="1:8" x14ac:dyDescent="0.25">
      <c r="A190" s="33">
        <v>218.10380799999999</v>
      </c>
      <c r="B190" s="33">
        <v>1.0002500000000001</v>
      </c>
      <c r="E190" s="2">
        <f t="shared" si="5"/>
        <v>0.99999476651013264</v>
      </c>
      <c r="F190">
        <f t="shared" si="4"/>
        <v>2.5523348986744576E-4</v>
      </c>
      <c r="H190" s="1"/>
    </row>
    <row r="191" spans="1:8" x14ac:dyDescent="0.25">
      <c r="A191" s="33">
        <v>234.881024</v>
      </c>
      <c r="B191" s="33">
        <v>1.0006299999999999</v>
      </c>
      <c r="E191" s="2">
        <f t="shared" si="5"/>
        <v>0.99999132661173096</v>
      </c>
      <c r="F191">
        <f t="shared" si="4"/>
        <v>6.3867338826895104E-4</v>
      </c>
      <c r="H191" s="1"/>
    </row>
    <row r="192" spans="1:8" x14ac:dyDescent="0.25">
      <c r="A192" s="33">
        <v>251.65824000000001</v>
      </c>
      <c r="B192" s="33">
        <v>1.0002</v>
      </c>
      <c r="E192" s="2">
        <f t="shared" si="5"/>
        <v>0.99998844578533808</v>
      </c>
      <c r="F192">
        <f t="shared" si="4"/>
        <v>2.1155421466190205E-4</v>
      </c>
      <c r="H192" s="1"/>
    </row>
    <row r="193" spans="1:8" x14ac:dyDescent="0.25">
      <c r="A193" s="33">
        <v>268.43545599999999</v>
      </c>
      <c r="B193" s="33">
        <v>1.0000800000000001</v>
      </c>
      <c r="E193" s="2">
        <f t="shared" si="5"/>
        <v>0.99998600460098097</v>
      </c>
      <c r="F193">
        <f t="shared" si="4"/>
        <v>9.3995399019108916E-5</v>
      </c>
      <c r="H193" s="1"/>
    </row>
    <row r="194" spans="1:8" x14ac:dyDescent="0.25">
      <c r="A194" s="33">
        <v>301.98988800000001</v>
      </c>
      <c r="B194" s="33">
        <v>1.0002800000000001</v>
      </c>
      <c r="E194" s="2">
        <f t="shared" si="5"/>
        <v>0.99998210875279647</v>
      </c>
      <c r="F194">
        <f t="shared" ref="F194:F238" si="6">B194-E194</f>
        <v>2.9789124720358551E-4</v>
      </c>
      <c r="H194" s="1"/>
    </row>
    <row r="195" spans="1:8" x14ac:dyDescent="0.25">
      <c r="A195" s="33">
        <v>335.54432000000003</v>
      </c>
      <c r="B195" s="33">
        <v>1.0004200000000001</v>
      </c>
      <c r="E195" s="2">
        <f t="shared" ref="E195:E238" si="7">$D$2+1/$D$3*($D$8/(1+A195/$D$4)/SQRT(1+A195/$D$4/$D$5/$D$5)+(1-$D$8)/(1+A195/$D$6)/SQRT(1+A195/$D$6/$D$7/$D$7))*(1+$D$9*EXP(-A195/$D$10)+$D$11*EXP(-A195/$D$12))</f>
        <v>0.99997915599470355</v>
      </c>
      <c r="F195">
        <f t="shared" si="6"/>
        <v>4.4084400529653678E-4</v>
      </c>
      <c r="H195" s="1"/>
    </row>
    <row r="196" spans="1:8" x14ac:dyDescent="0.25">
      <c r="A196" s="33">
        <v>369.09875199999999</v>
      </c>
      <c r="B196" s="33">
        <v>1.0001100000000001</v>
      </c>
      <c r="E196" s="2">
        <f t="shared" si="7"/>
        <v>0.99997685501181377</v>
      </c>
      <c r="F196">
        <f t="shared" si="6"/>
        <v>1.3314498818628451E-4</v>
      </c>
      <c r="H196" s="1"/>
    </row>
    <row r="197" spans="1:8" x14ac:dyDescent="0.25">
      <c r="A197" s="33">
        <v>402.65318400000001</v>
      </c>
      <c r="B197" s="33">
        <v>1.00024</v>
      </c>
      <c r="E197" s="2">
        <f t="shared" si="7"/>
        <v>0.99997502077531875</v>
      </c>
      <c r="F197">
        <f t="shared" si="6"/>
        <v>2.6497922468127211E-4</v>
      </c>
      <c r="H197" s="1"/>
    </row>
    <row r="198" spans="1:8" x14ac:dyDescent="0.25">
      <c r="A198" s="33">
        <v>436.20761599999997</v>
      </c>
      <c r="B198" s="33">
        <v>1.0002200000000001</v>
      </c>
      <c r="E198" s="2">
        <f t="shared" si="7"/>
        <v>0.99997353071059336</v>
      </c>
      <c r="F198">
        <f t="shared" si="6"/>
        <v>2.4646928940674773E-4</v>
      </c>
      <c r="H198" s="1"/>
    </row>
    <row r="199" spans="1:8" x14ac:dyDescent="0.25">
      <c r="A199" s="33">
        <v>469.76204799999999</v>
      </c>
      <c r="B199" s="33">
        <v>1.0000800000000001</v>
      </c>
      <c r="E199" s="2">
        <f t="shared" si="7"/>
        <v>0.99997230073420107</v>
      </c>
      <c r="F199">
        <f t="shared" si="6"/>
        <v>1.0769926579901057E-4</v>
      </c>
      <c r="H199" s="1"/>
    </row>
    <row r="200" spans="1:8" x14ac:dyDescent="0.25">
      <c r="A200" s="33">
        <v>503.31648000000001</v>
      </c>
      <c r="B200" s="33">
        <v>1.00014</v>
      </c>
      <c r="E200" s="2">
        <f t="shared" si="7"/>
        <v>0.99997127144669318</v>
      </c>
      <c r="F200">
        <f t="shared" si="6"/>
        <v>1.6872855330685166E-4</v>
      </c>
      <c r="H200" s="1"/>
    </row>
    <row r="201" spans="1:8" x14ac:dyDescent="0.25">
      <c r="A201" s="33">
        <v>536.87091199999998</v>
      </c>
      <c r="B201" s="33">
        <v>1.00004</v>
      </c>
      <c r="E201" s="2">
        <f t="shared" si="7"/>
        <v>0.99997039981953806</v>
      </c>
      <c r="F201">
        <f t="shared" si="6"/>
        <v>6.9600180461981687E-5</v>
      </c>
      <c r="H201" s="1"/>
    </row>
    <row r="202" spans="1:8" x14ac:dyDescent="0.25">
      <c r="A202" s="33">
        <v>603.97977600000002</v>
      </c>
      <c r="B202" s="33">
        <v>1.0003</v>
      </c>
      <c r="E202" s="2">
        <f t="shared" si="7"/>
        <v>0.99996900995494886</v>
      </c>
      <c r="F202">
        <f t="shared" si="6"/>
        <v>3.3099004505110496E-4</v>
      </c>
      <c r="H202" s="1"/>
    </row>
    <row r="203" spans="1:8" x14ac:dyDescent="0.25">
      <c r="A203" s="33">
        <v>671.08864000000005</v>
      </c>
      <c r="B203" s="33">
        <v>1.0001100000000001</v>
      </c>
      <c r="E203" s="2">
        <f t="shared" si="7"/>
        <v>0.99996795753262258</v>
      </c>
      <c r="F203">
        <f t="shared" si="6"/>
        <v>1.4204246737747894E-4</v>
      </c>
      <c r="H203" s="1"/>
    </row>
    <row r="204" spans="1:8" x14ac:dyDescent="0.25">
      <c r="A204" s="33">
        <v>738.19750399999998</v>
      </c>
      <c r="B204" s="33">
        <v>1.0002599999999999</v>
      </c>
      <c r="E204" s="2">
        <f t="shared" si="7"/>
        <v>0.99996713804084814</v>
      </c>
      <c r="F204">
        <f t="shared" si="6"/>
        <v>2.9286195915179114E-4</v>
      </c>
      <c r="H204" s="1"/>
    </row>
    <row r="205" spans="1:8" x14ac:dyDescent="0.25">
      <c r="A205" s="33">
        <v>805.30636800000002</v>
      </c>
      <c r="B205" s="33">
        <v>1.0004299999999999</v>
      </c>
      <c r="E205" s="2">
        <f t="shared" si="7"/>
        <v>0.99996648519180675</v>
      </c>
      <c r="F205">
        <f t="shared" si="6"/>
        <v>4.6351480819317725E-4</v>
      </c>
      <c r="H205" s="1"/>
    </row>
    <row r="206" spans="1:8" x14ac:dyDescent="0.25">
      <c r="A206" s="33">
        <v>872.41523199999995</v>
      </c>
      <c r="B206" s="33">
        <v>1.0003200000000001</v>
      </c>
      <c r="E206" s="2">
        <f t="shared" si="7"/>
        <v>0.99996595512289399</v>
      </c>
      <c r="F206">
        <f t="shared" si="6"/>
        <v>3.5404487710610777E-4</v>
      </c>
      <c r="H206" s="1"/>
    </row>
    <row r="207" spans="1:8" x14ac:dyDescent="0.25">
      <c r="A207" s="33">
        <v>939.52409599999999</v>
      </c>
      <c r="B207" s="33">
        <v>1.00038</v>
      </c>
      <c r="E207" s="2">
        <f t="shared" si="7"/>
        <v>0.99996551777440112</v>
      </c>
      <c r="F207">
        <f t="shared" si="6"/>
        <v>4.1448222559892223E-4</v>
      </c>
      <c r="H207" s="1"/>
    </row>
    <row r="208" spans="1:8" x14ac:dyDescent="0.25">
      <c r="A208" s="33">
        <v>1006.63296</v>
      </c>
      <c r="B208" s="33">
        <v>1.0003299999999999</v>
      </c>
      <c r="E208" s="2">
        <f t="shared" si="7"/>
        <v>0.99996515192855129</v>
      </c>
      <c r="F208">
        <f t="shared" si="6"/>
        <v>3.648480714486535E-4</v>
      </c>
      <c r="H208" s="1"/>
    </row>
    <row r="209" spans="1:8" x14ac:dyDescent="0.25">
      <c r="A209" s="33">
        <v>1073.741824</v>
      </c>
      <c r="B209" s="33">
        <v>1.00041</v>
      </c>
      <c r="E209" s="2">
        <f t="shared" si="7"/>
        <v>0.99996484222621274</v>
      </c>
      <c r="F209">
        <f t="shared" si="6"/>
        <v>4.4515777378728583E-4</v>
      </c>
      <c r="H209" s="1"/>
    </row>
    <row r="210" spans="1:8" x14ac:dyDescent="0.25">
      <c r="A210" s="33">
        <v>1207.959552</v>
      </c>
      <c r="B210" s="33">
        <v>1.00044</v>
      </c>
      <c r="E210" s="2">
        <f t="shared" si="7"/>
        <v>0.99996434859459327</v>
      </c>
      <c r="F210">
        <f t="shared" si="6"/>
        <v>4.7565140540672957E-4</v>
      </c>
      <c r="H210" s="1"/>
    </row>
    <row r="211" spans="1:8" x14ac:dyDescent="0.25">
      <c r="A211" s="33">
        <v>1342.1772800000001</v>
      </c>
      <c r="B211" s="33">
        <v>1.00034</v>
      </c>
      <c r="E211" s="2">
        <f t="shared" si="7"/>
        <v>0.9999639749894329</v>
      </c>
      <c r="F211">
        <f t="shared" si="6"/>
        <v>3.760250105671048E-4</v>
      </c>
      <c r="H211" s="1"/>
    </row>
    <row r="212" spans="1:8" x14ac:dyDescent="0.25">
      <c r="A212" s="33">
        <v>1476.395008</v>
      </c>
      <c r="B212" s="33">
        <v>1.0004500000000001</v>
      </c>
      <c r="E212" s="2">
        <f t="shared" si="7"/>
        <v>0.99996368418611581</v>
      </c>
      <c r="F212">
        <f t="shared" si="6"/>
        <v>4.8631581388425271E-4</v>
      </c>
      <c r="H212" s="1"/>
    </row>
    <row r="213" spans="1:8" x14ac:dyDescent="0.25">
      <c r="A213" s="33">
        <v>1610.612736</v>
      </c>
      <c r="B213" s="33">
        <v>1.00065</v>
      </c>
      <c r="E213" s="2">
        <f t="shared" si="7"/>
        <v>0.99996345259136399</v>
      </c>
      <c r="F213">
        <f t="shared" si="6"/>
        <v>6.8654740863605124E-4</v>
      </c>
      <c r="H213" s="1"/>
    </row>
    <row r="214" spans="1:8" x14ac:dyDescent="0.25">
      <c r="A214" s="33">
        <v>1744.8304639999999</v>
      </c>
      <c r="B214" s="33">
        <v>1.0005900000000001</v>
      </c>
      <c r="E214" s="2">
        <f t="shared" si="7"/>
        <v>0.99996326460269569</v>
      </c>
      <c r="F214">
        <f t="shared" si="6"/>
        <v>6.2673539730440098E-4</v>
      </c>
      <c r="H214" s="1"/>
    </row>
    <row r="215" spans="1:8" x14ac:dyDescent="0.25">
      <c r="A215" s="33">
        <v>1879.048192</v>
      </c>
      <c r="B215" s="33">
        <v>1.00057</v>
      </c>
      <c r="E215" s="2">
        <f t="shared" si="7"/>
        <v>0.99996310953275169</v>
      </c>
      <c r="F215">
        <f t="shared" si="6"/>
        <v>6.0689046724826667E-4</v>
      </c>
      <c r="H215" s="1"/>
    </row>
    <row r="216" spans="1:8" x14ac:dyDescent="0.25">
      <c r="A216" s="33">
        <v>2013.2659200000001</v>
      </c>
      <c r="B216" s="33">
        <v>1.0005999999999999</v>
      </c>
      <c r="E216" s="2">
        <f t="shared" si="7"/>
        <v>0.9999629798409635</v>
      </c>
      <c r="F216">
        <f t="shared" si="6"/>
        <v>6.3702015903643883E-4</v>
      </c>
      <c r="H216" s="1"/>
    </row>
    <row r="217" spans="1:8" x14ac:dyDescent="0.25">
      <c r="A217" s="33">
        <v>2147.4836479999999</v>
      </c>
      <c r="B217" s="33">
        <v>1.0006299999999999</v>
      </c>
      <c r="E217" s="2">
        <f t="shared" si="7"/>
        <v>0.99996287007082318</v>
      </c>
      <c r="F217">
        <f t="shared" si="6"/>
        <v>6.6712992917672409E-4</v>
      </c>
      <c r="H217" s="1"/>
    </row>
    <row r="218" spans="1:8" x14ac:dyDescent="0.25">
      <c r="A218" s="33">
        <v>2415.9191040000001</v>
      </c>
      <c r="B218" s="33">
        <v>1.0006200000000001</v>
      </c>
      <c r="E218" s="2">
        <f t="shared" si="7"/>
        <v>0.99996269514649638</v>
      </c>
      <c r="F218">
        <f t="shared" si="6"/>
        <v>6.5730485350368184E-4</v>
      </c>
      <c r="H218" s="1"/>
    </row>
    <row r="219" spans="1:8" x14ac:dyDescent="0.25">
      <c r="A219" s="33">
        <v>2684.3545600000002</v>
      </c>
      <c r="B219" s="33">
        <v>1.0006999999999999</v>
      </c>
      <c r="E219" s="2">
        <f t="shared" si="7"/>
        <v>0.9999625627869182</v>
      </c>
      <c r="F219">
        <f t="shared" si="6"/>
        <v>7.3743721308172638E-4</v>
      </c>
      <c r="H219" s="1"/>
    </row>
    <row r="220" spans="1:8" x14ac:dyDescent="0.25">
      <c r="A220" s="33">
        <v>2952.7900159999999</v>
      </c>
      <c r="B220" s="33">
        <v>1.0005900000000001</v>
      </c>
      <c r="E220" s="2">
        <f t="shared" si="7"/>
        <v>0.99996245978218479</v>
      </c>
      <c r="F220">
        <f t="shared" si="6"/>
        <v>6.2754021781530334E-4</v>
      </c>
      <c r="H220" s="1"/>
    </row>
    <row r="221" spans="1:8" x14ac:dyDescent="0.25">
      <c r="A221" s="33">
        <v>3221.2254720000001</v>
      </c>
      <c r="B221" s="33">
        <v>1.0007600000000001</v>
      </c>
      <c r="E221" s="2">
        <f t="shared" si="7"/>
        <v>0.99996237776277441</v>
      </c>
      <c r="F221">
        <f t="shared" si="6"/>
        <v>7.9762223722568137E-4</v>
      </c>
      <c r="H221" s="1"/>
    </row>
    <row r="222" spans="1:8" x14ac:dyDescent="0.25">
      <c r="A222" s="33">
        <v>3489.6609279999998</v>
      </c>
      <c r="B222" s="33">
        <v>1.00075</v>
      </c>
      <c r="E222" s="2">
        <f t="shared" si="7"/>
        <v>0.99996231119547774</v>
      </c>
      <c r="F222">
        <f t="shared" si="6"/>
        <v>7.8768880452229073E-4</v>
      </c>
      <c r="H222" s="1"/>
    </row>
    <row r="223" spans="1:8" x14ac:dyDescent="0.25">
      <c r="A223" s="33">
        <v>3758.0963839999999</v>
      </c>
      <c r="B223" s="33">
        <v>1.00099</v>
      </c>
      <c r="E223" s="2">
        <f t="shared" si="7"/>
        <v>0.9999622562911078</v>
      </c>
      <c r="F223">
        <f t="shared" si="6"/>
        <v>1.0277437088922481E-3</v>
      </c>
      <c r="H223" s="1"/>
    </row>
    <row r="224" spans="1:8" x14ac:dyDescent="0.25">
      <c r="A224" s="33">
        <v>4026.5318400000001</v>
      </c>
      <c r="B224" s="33">
        <v>1.0010300000000001</v>
      </c>
      <c r="E224" s="2">
        <f t="shared" si="7"/>
        <v>0.9999622103767305</v>
      </c>
      <c r="F224">
        <f t="shared" si="6"/>
        <v>1.0677896232695883E-3</v>
      </c>
      <c r="H224" s="1"/>
    </row>
    <row r="225" spans="1:8" x14ac:dyDescent="0.25">
      <c r="A225" s="33">
        <v>4294.9672959999998</v>
      </c>
      <c r="B225" s="33">
        <v>1.0012399999999999</v>
      </c>
      <c r="E225" s="2">
        <f t="shared" si="7"/>
        <v>0.99996217151850708</v>
      </c>
      <c r="F225">
        <f t="shared" si="6"/>
        <v>1.2778284814928265E-3</v>
      </c>
      <c r="H225" s="1"/>
    </row>
    <row r="226" spans="1:8" x14ac:dyDescent="0.25">
      <c r="A226" s="33">
        <v>4831.8382080000001</v>
      </c>
      <c r="B226" s="33">
        <v>1.0012399999999999</v>
      </c>
      <c r="E226" s="2">
        <f t="shared" si="7"/>
        <v>0.99996210960256759</v>
      </c>
      <c r="F226">
        <f t="shared" si="6"/>
        <v>1.277890397432313E-3</v>
      </c>
      <c r="H226" s="1"/>
    </row>
    <row r="227" spans="1:8" x14ac:dyDescent="0.25">
      <c r="A227" s="33">
        <v>5368.7091200000004</v>
      </c>
      <c r="B227" s="33">
        <v>1.00119</v>
      </c>
      <c r="E227" s="2">
        <f t="shared" si="7"/>
        <v>0.99996206275845279</v>
      </c>
      <c r="F227">
        <f t="shared" si="6"/>
        <v>1.2279372415472389E-3</v>
      </c>
      <c r="H227" s="1"/>
    </row>
    <row r="228" spans="1:8" x14ac:dyDescent="0.25">
      <c r="A228" s="33">
        <v>5905.5800319999998</v>
      </c>
      <c r="B228" s="33">
        <v>1.0012099999999999</v>
      </c>
      <c r="E228" s="2">
        <f t="shared" si="7"/>
        <v>0.99996202630704223</v>
      </c>
      <c r="F228">
        <f t="shared" si="6"/>
        <v>1.2479736929577046E-3</v>
      </c>
      <c r="H228" s="1"/>
    </row>
    <row r="229" spans="1:8" x14ac:dyDescent="0.25">
      <c r="A229" s="33">
        <v>6442.4509440000002</v>
      </c>
      <c r="B229" s="33">
        <v>1.00125</v>
      </c>
      <c r="E229" s="2">
        <f t="shared" si="7"/>
        <v>0.99996199728428103</v>
      </c>
      <c r="F229">
        <f t="shared" si="6"/>
        <v>1.2880027157189389E-3</v>
      </c>
      <c r="H229" s="1"/>
    </row>
    <row r="230" spans="1:8" x14ac:dyDescent="0.25">
      <c r="A230" s="33">
        <v>6979.3218559999996</v>
      </c>
      <c r="B230" s="33">
        <v>1.00118</v>
      </c>
      <c r="E230" s="2">
        <f t="shared" si="7"/>
        <v>0.99996197373088314</v>
      </c>
      <c r="F230">
        <f t="shared" si="6"/>
        <v>1.2180262691168231E-3</v>
      </c>
      <c r="H230" s="1"/>
    </row>
    <row r="231" spans="1:8" x14ac:dyDescent="0.25">
      <c r="A231" s="33">
        <v>7516.1927679999999</v>
      </c>
      <c r="B231" s="33">
        <v>1.0012399999999999</v>
      </c>
      <c r="E231" s="2">
        <f t="shared" si="7"/>
        <v>0.99996195430528034</v>
      </c>
      <c r="F231">
        <f t="shared" si="6"/>
        <v>1.2780456947195651E-3</v>
      </c>
      <c r="H231" s="1"/>
    </row>
    <row r="232" spans="1:8" x14ac:dyDescent="0.25">
      <c r="A232" s="33">
        <v>8053.0636800000002</v>
      </c>
      <c r="B232" s="33">
        <v>1.00142</v>
      </c>
      <c r="E232" s="2">
        <f t="shared" si="7"/>
        <v>0.99996193806121603</v>
      </c>
      <c r="F232">
        <f t="shared" si="6"/>
        <v>1.45806193878395E-3</v>
      </c>
      <c r="H232" s="1"/>
    </row>
    <row r="233" spans="1:8" x14ac:dyDescent="0.25">
      <c r="A233" s="33">
        <v>8589.9345919999996</v>
      </c>
      <c r="B233" s="33">
        <v>1.0015799999999999</v>
      </c>
      <c r="E233" s="2">
        <f t="shared" si="7"/>
        <v>0.99996192431414599</v>
      </c>
      <c r="F233">
        <f t="shared" si="6"/>
        <v>1.6180756858539258E-3</v>
      </c>
      <c r="H233" s="1"/>
    </row>
    <row r="234" spans="1:8" x14ac:dyDescent="0.25">
      <c r="A234" s="33">
        <v>9663.6764160000002</v>
      </c>
      <c r="B234" s="33">
        <v>1.00173</v>
      </c>
      <c r="E234" s="2">
        <f t="shared" si="7"/>
        <v>0.99996190241100591</v>
      </c>
      <c r="F234">
        <f t="shared" si="6"/>
        <v>1.7680975889940997E-3</v>
      </c>
      <c r="H234" s="1"/>
    </row>
    <row r="235" spans="1:8" x14ac:dyDescent="0.25">
      <c r="A235" s="33">
        <v>10737.418240000001</v>
      </c>
      <c r="B235" s="33">
        <v>1.0018199999999999</v>
      </c>
      <c r="E235" s="2">
        <f t="shared" si="7"/>
        <v>0.99996188584062096</v>
      </c>
      <c r="F235">
        <f t="shared" si="6"/>
        <v>1.8581141593789763E-3</v>
      </c>
      <c r="H235" s="1"/>
    </row>
    <row r="236" spans="1:8" x14ac:dyDescent="0.25">
      <c r="A236" s="33">
        <v>11811.160064</v>
      </c>
      <c r="B236" s="33">
        <v>1.00186</v>
      </c>
      <c r="E236" s="2">
        <f t="shared" si="7"/>
        <v>0.99996187294712735</v>
      </c>
      <c r="F236">
        <f t="shared" si="6"/>
        <v>1.8981270528726224E-3</v>
      </c>
      <c r="H236" s="1"/>
    </row>
    <row r="237" spans="1:8" x14ac:dyDescent="0.25">
      <c r="A237" s="33">
        <v>12884.901888</v>
      </c>
      <c r="B237" s="33">
        <v>1.0023200000000001</v>
      </c>
      <c r="E237" s="2">
        <f t="shared" si="7"/>
        <v>0.99996186268169074</v>
      </c>
      <c r="F237">
        <f t="shared" si="6"/>
        <v>2.3581373183093612E-3</v>
      </c>
      <c r="H237" s="1"/>
    </row>
    <row r="238" spans="1:8" x14ac:dyDescent="0.25">
      <c r="A238" s="33">
        <v>13958.643711999999</v>
      </c>
      <c r="B238" s="33">
        <v>1.0024500000000001</v>
      </c>
      <c r="E238" s="2">
        <f t="shared" si="7"/>
        <v>0.99996185435106677</v>
      </c>
      <c r="F238">
        <f t="shared" si="6"/>
        <v>2.4881456489332932E-3</v>
      </c>
      <c r="H238" s="1"/>
    </row>
    <row r="239" spans="1:8" x14ac:dyDescent="0.25">
      <c r="A239" s="33">
        <v>15032.385536</v>
      </c>
      <c r="B239" s="33">
        <v>1.0024200000000001</v>
      </c>
      <c r="H239" s="1"/>
    </row>
    <row r="240" spans="1:8" x14ac:dyDescent="0.25">
      <c r="A240" s="33">
        <v>16106.12736</v>
      </c>
      <c r="B240" s="33">
        <v>1.0022500000000001</v>
      </c>
      <c r="H240" s="1"/>
    </row>
    <row r="241" spans="1:8" x14ac:dyDescent="0.25">
      <c r="A241" s="33">
        <v>17179.869183999999</v>
      </c>
      <c r="B241" s="33">
        <v>1.0028999999999999</v>
      </c>
      <c r="H241" s="1"/>
    </row>
    <row r="242" spans="1:8" x14ac:dyDescent="0.25">
      <c r="A242" s="33">
        <v>19327.352832</v>
      </c>
      <c r="B242" s="33">
        <v>1.0032300000000001</v>
      </c>
      <c r="H242" s="1"/>
    </row>
    <row r="243" spans="1:8" x14ac:dyDescent="0.25">
      <c r="A243" s="33">
        <v>21474.836480000002</v>
      </c>
      <c r="B243" s="33">
        <v>1.00393</v>
      </c>
      <c r="H243" s="1"/>
    </row>
    <row r="244" spans="1:8" x14ac:dyDescent="0.25">
      <c r="A244" s="33">
        <v>23622.320127999999</v>
      </c>
      <c r="B244" s="33">
        <v>1.0039100000000001</v>
      </c>
      <c r="H244" s="1"/>
    </row>
    <row r="245" spans="1:8" x14ac:dyDescent="0.25">
      <c r="A245" s="33">
        <v>25769.803776000001</v>
      </c>
      <c r="B245" s="33">
        <v>1.0038800000000001</v>
      </c>
      <c r="H245" s="1"/>
    </row>
    <row r="246" spans="1:8" x14ac:dyDescent="0.25">
      <c r="A246" s="33">
        <v>27917.287423999998</v>
      </c>
      <c r="B246" s="33">
        <v>1.0045599999999999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"/>
  <sheetViews>
    <sheetView zoomScale="85" zoomScaleNormal="85" workbookViewId="0"/>
  </sheetViews>
  <sheetFormatPr defaultColWidth="9" defaultRowHeight="15" x14ac:dyDescent="0.25"/>
  <cols>
    <col min="1" max="1" width="14.28515625" bestFit="1" customWidth="1"/>
    <col min="2" max="2" width="9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bestFit="1" customWidth="1"/>
    <col min="10" max="10" width="15.42578125" bestFit="1" customWidth="1"/>
  </cols>
  <sheetData>
    <row r="1" spans="1:12" x14ac:dyDescent="0.25">
      <c r="A1" t="s">
        <v>6</v>
      </c>
      <c r="B1" t="s">
        <v>8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34">
        <v>3.9999999999999998E-6</v>
      </c>
      <c r="B2" s="34">
        <v>1.16395</v>
      </c>
      <c r="C2" s="7" t="s">
        <v>1</v>
      </c>
      <c r="D2" s="6">
        <v>1.0001378389949751</v>
      </c>
      <c r="E2" s="2">
        <f>$D$2+1/$D$3*($D$8/(1+A2/$D$4)/SQRT(1+A2/$D$4/$D$5/$D$5)+(1-$D$8)/(1+A2/$D$6)/SQRT(1+A2/$D$6/$D$7/$D$7))*(1+$D$9*EXP(-A2/$D$10)+$D$11*EXP(-A2/$D$12))</f>
        <v>1.2449451774366322</v>
      </c>
      <c r="F2">
        <f t="shared" ref="F2:F65" si="0">B2-E2</f>
        <v>-8.0995177436632204E-2</v>
      </c>
      <c r="G2">
        <f>SUMSQ(F$4:F$190)</f>
        <v>1.9716822755807902E-3</v>
      </c>
      <c r="I2" s="13" t="s">
        <v>19</v>
      </c>
      <c r="J2" s="17">
        <v>107.5</v>
      </c>
      <c r="L2" s="14">
        <f>(J2+J3)/D3</f>
        <v>49.395907159595616</v>
      </c>
    </row>
    <row r="3" spans="1:12" x14ac:dyDescent="0.25">
      <c r="A3" s="34">
        <v>7.9999999999999996E-6</v>
      </c>
      <c r="B3" s="34">
        <v>1.22733</v>
      </c>
      <c r="C3" s="7" t="s">
        <v>2</v>
      </c>
      <c r="D3" s="6">
        <v>4.3141226116464457</v>
      </c>
      <c r="E3" s="2">
        <f t="shared" ref="E3:E66" si="1">$D$2+1/$D$3*($D$8/(1+A3/$D$4)/SQRT(1+A3/$D$4/$D$5/$D$5)+(1-$D$8)/(1+A3/$D$6)/SQRT(1+A3/$D$6/$D$7/$D$7))*(1+$D$9*EXP(-A3/$D$10)+$D$11*EXP(-A3/$D$12))</f>
        <v>1.2449156390717542</v>
      </c>
      <c r="F3">
        <f t="shared" si="0"/>
        <v>-1.7585639071754144E-2</v>
      </c>
      <c r="I3" s="13" t="s">
        <v>20</v>
      </c>
      <c r="J3" s="18">
        <v>105.6</v>
      </c>
    </row>
    <row r="4" spans="1:12" x14ac:dyDescent="0.25">
      <c r="A4" s="34">
        <v>1.2E-5</v>
      </c>
      <c r="B4" s="34">
        <v>1.2262299999999999</v>
      </c>
      <c r="C4" s="7" t="s">
        <v>26</v>
      </c>
      <c r="D4" s="6">
        <v>0.18923391923228541</v>
      </c>
      <c r="E4" s="2">
        <f t="shared" si="1"/>
        <v>1.2448861473403403</v>
      </c>
      <c r="F4">
        <f t="shared" si="0"/>
        <v>-1.8656147340340379E-2</v>
      </c>
      <c r="I4" s="4"/>
    </row>
    <row r="5" spans="1:12" x14ac:dyDescent="0.25">
      <c r="A5" s="34">
        <v>1.5999999999999999E-5</v>
      </c>
      <c r="B5" s="34">
        <v>1.25041</v>
      </c>
      <c r="C5" s="7" t="s">
        <v>22</v>
      </c>
      <c r="D5" s="6">
        <v>6.4166892704754286</v>
      </c>
      <c r="E5" s="2">
        <f t="shared" si="1"/>
        <v>1.2448567021546844</v>
      </c>
      <c r="F5">
        <f t="shared" si="0"/>
        <v>5.5532978453156634E-3</v>
      </c>
      <c r="I5" s="4"/>
    </row>
    <row r="6" spans="1:12" x14ac:dyDescent="0.25">
      <c r="A6" s="34">
        <v>2.0000000000000002E-5</v>
      </c>
      <c r="B6" s="34">
        <v>1.24922</v>
      </c>
      <c r="C6" s="7" t="s">
        <v>25</v>
      </c>
      <c r="D6" s="6">
        <v>1.38</v>
      </c>
      <c r="E6" s="2">
        <f t="shared" si="1"/>
        <v>1.2448273034272463</v>
      </c>
      <c r="F6">
        <f t="shared" si="0"/>
        <v>4.3926965727536516E-3</v>
      </c>
      <c r="I6" s="4"/>
    </row>
    <row r="7" spans="1:12" x14ac:dyDescent="0.25">
      <c r="A7" s="34">
        <v>2.4000000000000001E-5</v>
      </c>
      <c r="B7" s="34">
        <v>1.2573799999999999</v>
      </c>
      <c r="C7" s="7" t="s">
        <v>22</v>
      </c>
      <c r="D7" s="6">
        <f>D5</f>
        <v>6.4166892704754286</v>
      </c>
      <c r="E7" s="2">
        <f t="shared" si="1"/>
        <v>1.2447979510706511</v>
      </c>
      <c r="F7">
        <f t="shared" si="0"/>
        <v>1.2582048929348888E-2</v>
      </c>
      <c r="I7" s="4"/>
    </row>
    <row r="8" spans="1:12" x14ac:dyDescent="0.25">
      <c r="A8" s="34">
        <v>2.8E-5</v>
      </c>
      <c r="B8" s="34">
        <v>1.2400599999999999</v>
      </c>
      <c r="C8" s="7" t="s">
        <v>13</v>
      </c>
      <c r="D8" s="6">
        <v>1</v>
      </c>
      <c r="E8" s="2">
        <f t="shared" si="1"/>
        <v>1.2447686449976885</v>
      </c>
      <c r="F8">
        <f t="shared" si="0"/>
        <v>-4.708644997688527E-3</v>
      </c>
      <c r="I8" s="4"/>
    </row>
    <row r="9" spans="1:12" x14ac:dyDescent="0.25">
      <c r="A9" s="34">
        <v>3.1999999999999999E-5</v>
      </c>
      <c r="B9" s="34">
        <v>1.25848</v>
      </c>
      <c r="C9" s="7" t="s">
        <v>14</v>
      </c>
      <c r="D9" s="6">
        <v>5.6256507957542473E-2</v>
      </c>
      <c r="E9" s="2">
        <f t="shared" si="1"/>
        <v>1.2447393851213135</v>
      </c>
      <c r="F9">
        <f t="shared" si="0"/>
        <v>1.3740614878686497E-2</v>
      </c>
      <c r="I9" s="4"/>
    </row>
    <row r="10" spans="1:12" x14ac:dyDescent="0.25">
      <c r="A10" s="34">
        <v>3.6000000000000001E-5</v>
      </c>
      <c r="B10" s="34">
        <v>1.2491300000000001</v>
      </c>
      <c r="C10" s="7" t="s">
        <v>24</v>
      </c>
      <c r="D10" s="6">
        <v>2.1403233673196495E-3</v>
      </c>
      <c r="E10" s="2">
        <f t="shared" si="1"/>
        <v>1.2447101713546451</v>
      </c>
      <c r="F10">
        <f t="shared" si="0"/>
        <v>4.4198286453549507E-3</v>
      </c>
      <c r="I10" s="4"/>
    </row>
    <row r="11" spans="1:12" x14ac:dyDescent="0.25">
      <c r="A11" s="34">
        <v>4.0000000000000003E-5</v>
      </c>
      <c r="B11" s="34">
        <v>1.23942</v>
      </c>
      <c r="C11" s="7" t="s">
        <v>15</v>
      </c>
      <c r="D11" s="6">
        <v>0</v>
      </c>
      <c r="E11" s="2">
        <f t="shared" si="1"/>
        <v>1.2446810036109668</v>
      </c>
      <c r="F11">
        <f t="shared" si="0"/>
        <v>-5.261003610966819E-3</v>
      </c>
      <c r="I11" s="4"/>
    </row>
    <row r="12" spans="1:12" x14ac:dyDescent="0.25">
      <c r="A12" s="34">
        <v>4.3999999999999999E-5</v>
      </c>
      <c r="B12" s="34">
        <v>1.24501</v>
      </c>
      <c r="C12" s="7" t="s">
        <v>23</v>
      </c>
      <c r="D12" s="6">
        <v>2.064440385302267E-5</v>
      </c>
      <c r="E12" s="2">
        <f t="shared" si="1"/>
        <v>1.2446518818037253</v>
      </c>
      <c r="F12">
        <f t="shared" si="0"/>
        <v>3.5811819627462604E-4</v>
      </c>
      <c r="I12" s="4"/>
    </row>
    <row r="13" spans="1:12" x14ac:dyDescent="0.25">
      <c r="A13" s="34">
        <v>4.8000000000000001E-5</v>
      </c>
      <c r="B13" s="34">
        <v>1.2414400000000001</v>
      </c>
      <c r="E13" s="2">
        <f t="shared" si="1"/>
        <v>1.2446228058465316</v>
      </c>
      <c r="F13">
        <f t="shared" si="0"/>
        <v>-3.1828058465315223E-3</v>
      </c>
    </row>
    <row r="14" spans="1:12" x14ac:dyDescent="0.25">
      <c r="A14" s="34">
        <v>5.1999999999999997E-5</v>
      </c>
      <c r="B14" s="34">
        <v>1.24648</v>
      </c>
      <c r="E14" s="2">
        <f t="shared" si="1"/>
        <v>1.2445937756531593</v>
      </c>
      <c r="F14">
        <f t="shared" si="0"/>
        <v>1.8862243468407147E-3</v>
      </c>
    </row>
    <row r="15" spans="1:12" x14ac:dyDescent="0.25">
      <c r="A15" s="34">
        <v>5.5999999999999999E-5</v>
      </c>
      <c r="B15" s="34">
        <v>1.2315499999999999</v>
      </c>
      <c r="E15" s="2">
        <f t="shared" si="1"/>
        <v>1.2445647911375448</v>
      </c>
      <c r="F15">
        <f t="shared" si="0"/>
        <v>-1.301479113754489E-2</v>
      </c>
    </row>
    <row r="16" spans="1:12" x14ac:dyDescent="0.25">
      <c r="A16" s="34">
        <v>6.0000000000000002E-5</v>
      </c>
      <c r="B16" s="34">
        <v>1.26315</v>
      </c>
      <c r="E16" s="2">
        <f t="shared" si="1"/>
        <v>1.2445358522137879</v>
      </c>
      <c r="F16">
        <f t="shared" si="0"/>
        <v>1.8614147786212065E-2</v>
      </c>
    </row>
    <row r="17" spans="1:6" x14ac:dyDescent="0.25">
      <c r="A17" s="34">
        <v>6.3999999999999997E-5</v>
      </c>
      <c r="B17" s="34">
        <v>1.24918</v>
      </c>
      <c r="E17" s="2">
        <f t="shared" si="1"/>
        <v>1.2445069587961495</v>
      </c>
      <c r="F17">
        <f t="shared" si="0"/>
        <v>4.6730412038504809E-3</v>
      </c>
    </row>
    <row r="18" spans="1:6" x14ac:dyDescent="0.25">
      <c r="A18" s="34">
        <v>7.2000000000000002E-5</v>
      </c>
      <c r="B18" s="34">
        <v>1.24648</v>
      </c>
      <c r="E18" s="2">
        <f t="shared" si="1"/>
        <v>1.244449308137084</v>
      </c>
      <c r="F18">
        <f t="shared" si="0"/>
        <v>2.0306918629160453E-3</v>
      </c>
    </row>
    <row r="19" spans="1:6" x14ac:dyDescent="0.25">
      <c r="A19" s="34">
        <v>8.0000000000000007E-5</v>
      </c>
      <c r="B19" s="34">
        <v>1.2444200000000001</v>
      </c>
      <c r="E19" s="2">
        <f t="shared" si="1"/>
        <v>1.2443918384776742</v>
      </c>
      <c r="F19">
        <f t="shared" si="0"/>
        <v>2.8161522325875765E-5</v>
      </c>
    </row>
    <row r="20" spans="1:6" x14ac:dyDescent="0.25">
      <c r="A20" s="34">
        <v>8.7999999999999998E-5</v>
      </c>
      <c r="B20" s="34">
        <v>1.23668</v>
      </c>
      <c r="E20" s="2">
        <f t="shared" si="1"/>
        <v>1.2443345491378215</v>
      </c>
      <c r="F20">
        <f t="shared" si="0"/>
        <v>-7.6545491378214869E-3</v>
      </c>
    </row>
    <row r="21" spans="1:6" x14ac:dyDescent="0.25">
      <c r="A21" s="34">
        <v>9.6000000000000002E-5</v>
      </c>
      <c r="B21" s="34">
        <v>1.24854</v>
      </c>
      <c r="E21" s="2">
        <f t="shared" si="1"/>
        <v>1.2442774394399949</v>
      </c>
      <c r="F21">
        <f t="shared" si="0"/>
        <v>4.2625605600050687E-3</v>
      </c>
    </row>
    <row r="22" spans="1:6" x14ac:dyDescent="0.25">
      <c r="A22" s="34">
        <v>1.0399999999999999E-4</v>
      </c>
      <c r="B22" s="34">
        <v>1.24474</v>
      </c>
      <c r="E22" s="2">
        <f t="shared" si="1"/>
        <v>1.2442205087092202</v>
      </c>
      <c r="F22">
        <f t="shared" si="0"/>
        <v>5.1949129077977219E-4</v>
      </c>
    </row>
    <row r="23" spans="1:6" x14ac:dyDescent="0.25">
      <c r="A23" s="34">
        <v>1.12E-4</v>
      </c>
      <c r="B23" s="34">
        <v>1.24803</v>
      </c>
      <c r="E23" s="2">
        <f t="shared" si="1"/>
        <v>1.244163756273071</v>
      </c>
      <c r="F23">
        <f t="shared" si="0"/>
        <v>3.8662437269290084E-3</v>
      </c>
    </row>
    <row r="24" spans="1:6" x14ac:dyDescent="0.25">
      <c r="A24" s="34">
        <v>1.2E-4</v>
      </c>
      <c r="B24" s="34">
        <v>1.2326900000000001</v>
      </c>
      <c r="E24" s="2">
        <f t="shared" si="1"/>
        <v>1.2441071814616587</v>
      </c>
      <c r="F24">
        <f t="shared" si="0"/>
        <v>-1.1417181461658599E-2</v>
      </c>
    </row>
    <row r="25" spans="1:6" x14ac:dyDescent="0.25">
      <c r="A25" s="34">
        <v>1.2799999999999999E-4</v>
      </c>
      <c r="B25" s="34">
        <v>1.2376100000000001</v>
      </c>
      <c r="E25" s="2">
        <f t="shared" si="1"/>
        <v>1.2440507836076229</v>
      </c>
      <c r="F25">
        <f t="shared" si="0"/>
        <v>-6.4407836076227909E-3</v>
      </c>
    </row>
    <row r="26" spans="1:6" x14ac:dyDescent="0.25">
      <c r="A26" s="34">
        <v>1.44E-4</v>
      </c>
      <c r="B26" s="34">
        <v>1.2498400000000001</v>
      </c>
      <c r="E26" s="2">
        <f t="shared" si="1"/>
        <v>1.2439385161148242</v>
      </c>
      <c r="F26">
        <f t="shared" si="0"/>
        <v>5.9014838851758622E-3</v>
      </c>
    </row>
    <row r="27" spans="1:6" x14ac:dyDescent="0.25">
      <c r="A27" s="34">
        <v>1.6000000000000001E-4</v>
      </c>
      <c r="B27" s="34">
        <v>1.2407699999999999</v>
      </c>
      <c r="E27" s="2">
        <f t="shared" si="1"/>
        <v>1.2438269485059972</v>
      </c>
      <c r="F27">
        <f t="shared" si="0"/>
        <v>-3.0569485059972479E-3</v>
      </c>
    </row>
    <row r="28" spans="1:6" x14ac:dyDescent="0.25">
      <c r="A28" s="34">
        <v>1.76E-4</v>
      </c>
      <c r="B28" s="34">
        <v>1.2326699999999999</v>
      </c>
      <c r="E28" s="2">
        <f t="shared" si="1"/>
        <v>1.2437160755323104</v>
      </c>
      <c r="F28">
        <f t="shared" si="0"/>
        <v>-1.1046075532310518E-2</v>
      </c>
    </row>
    <row r="29" spans="1:6" x14ac:dyDescent="0.25">
      <c r="A29" s="34">
        <v>1.92E-4</v>
      </c>
      <c r="B29" s="34">
        <v>1.2421500000000001</v>
      </c>
      <c r="E29" s="2">
        <f t="shared" si="1"/>
        <v>1.2436058919844784</v>
      </c>
      <c r="F29">
        <f t="shared" si="0"/>
        <v>-1.4558919844782636E-3</v>
      </c>
    </row>
    <row r="30" spans="1:6" x14ac:dyDescent="0.25">
      <c r="A30" s="34">
        <v>2.0799999999999999E-4</v>
      </c>
      <c r="B30" s="34">
        <v>1.2432700000000001</v>
      </c>
      <c r="E30" s="2">
        <f t="shared" si="1"/>
        <v>1.2434963926924629</v>
      </c>
      <c r="F30">
        <f t="shared" si="0"/>
        <v>-2.26392692462829E-4</v>
      </c>
    </row>
    <row r="31" spans="1:6" x14ac:dyDescent="0.25">
      <c r="A31" s="34">
        <v>2.24E-4</v>
      </c>
      <c r="B31" s="34">
        <v>1.24</v>
      </c>
      <c r="E31" s="2">
        <f t="shared" si="1"/>
        <v>1.243387572525178</v>
      </c>
      <c r="F31">
        <f t="shared" si="0"/>
        <v>-3.387572525177962E-3</v>
      </c>
    </row>
    <row r="32" spans="1:6" x14ac:dyDescent="0.25">
      <c r="A32" s="34">
        <v>2.4000000000000001E-4</v>
      </c>
      <c r="B32" s="34">
        <v>1.2465200000000001</v>
      </c>
      <c r="E32" s="2">
        <f t="shared" si="1"/>
        <v>1.2432794263901963</v>
      </c>
      <c r="F32">
        <f t="shared" si="0"/>
        <v>3.2405736098037874E-3</v>
      </c>
    </row>
    <row r="33" spans="1:6" x14ac:dyDescent="0.25">
      <c r="A33" s="34">
        <v>2.5599999999999999E-4</v>
      </c>
      <c r="B33" s="34">
        <v>1.24241</v>
      </c>
      <c r="E33" s="2">
        <f t="shared" si="1"/>
        <v>1.2431719492334574</v>
      </c>
      <c r="F33">
        <f t="shared" si="0"/>
        <v>-7.6194923345740406E-4</v>
      </c>
    </row>
    <row r="34" spans="1:6" x14ac:dyDescent="0.25">
      <c r="A34" s="34">
        <v>2.8800000000000001E-4</v>
      </c>
      <c r="B34" s="34">
        <v>1.24376</v>
      </c>
      <c r="E34" s="2">
        <f t="shared" si="1"/>
        <v>1.2429589818285689</v>
      </c>
      <c r="F34">
        <f t="shared" si="0"/>
        <v>8.0101817143107823E-4</v>
      </c>
    </row>
    <row r="35" spans="1:6" x14ac:dyDescent="0.25">
      <c r="A35" s="34">
        <v>3.2000000000000003E-4</v>
      </c>
      <c r="B35" s="34">
        <v>1.2397800000000001</v>
      </c>
      <c r="E35" s="2">
        <f t="shared" si="1"/>
        <v>1.242748630634438</v>
      </c>
      <c r="F35">
        <f t="shared" si="0"/>
        <v>-2.9686306344378632E-3</v>
      </c>
    </row>
    <row r="36" spans="1:6" x14ac:dyDescent="0.25">
      <c r="A36" s="34">
        <v>3.5199999999999999E-4</v>
      </c>
      <c r="B36" s="34">
        <v>1.24278</v>
      </c>
      <c r="E36" s="2">
        <f t="shared" si="1"/>
        <v>1.2425408565705833</v>
      </c>
      <c r="F36">
        <f t="shared" si="0"/>
        <v>2.3914342941666611E-4</v>
      </c>
    </row>
    <row r="37" spans="1:6" x14ac:dyDescent="0.25">
      <c r="A37" s="34">
        <v>3.8400000000000001E-4</v>
      </c>
      <c r="B37" s="34">
        <v>1.2450600000000001</v>
      </c>
      <c r="E37" s="2">
        <f t="shared" si="1"/>
        <v>1.242335621143174</v>
      </c>
      <c r="F37">
        <f t="shared" si="0"/>
        <v>2.7243788568260818E-3</v>
      </c>
    </row>
    <row r="38" spans="1:6" x14ac:dyDescent="0.25">
      <c r="A38" s="34">
        <v>4.1599999999999997E-4</v>
      </c>
      <c r="B38" s="34">
        <v>1.24458</v>
      </c>
      <c r="E38" s="2">
        <f t="shared" si="1"/>
        <v>1.2421328864362202</v>
      </c>
      <c r="F38">
        <f t="shared" si="0"/>
        <v>2.4471135637798014E-3</v>
      </c>
    </row>
    <row r="39" spans="1:6" x14ac:dyDescent="0.25">
      <c r="A39" s="34">
        <v>4.4799999999999999E-4</v>
      </c>
      <c r="B39" s="34">
        <v>1.2368600000000001</v>
      </c>
      <c r="E39" s="2">
        <f t="shared" si="1"/>
        <v>1.2419326151028967</v>
      </c>
      <c r="F39">
        <f t="shared" si="0"/>
        <v>-5.0726151028965827E-3</v>
      </c>
    </row>
    <row r="40" spans="1:6" x14ac:dyDescent="0.25">
      <c r="A40" s="34">
        <v>4.8000000000000001E-4</v>
      </c>
      <c r="B40" s="34">
        <v>1.2447999999999999</v>
      </c>
      <c r="E40" s="2">
        <f t="shared" si="1"/>
        <v>1.2417347703569963</v>
      </c>
      <c r="F40">
        <f t="shared" si="0"/>
        <v>3.0652296430035975E-3</v>
      </c>
    </row>
    <row r="41" spans="1:6" x14ac:dyDescent="0.25">
      <c r="A41" s="34">
        <v>5.1199999999999998E-4</v>
      </c>
      <c r="B41" s="34">
        <v>1.2428300000000001</v>
      </c>
      <c r="E41" s="2">
        <f t="shared" si="1"/>
        <v>1.2415393159645123</v>
      </c>
      <c r="F41">
        <f t="shared" si="0"/>
        <v>1.2906840354878213E-3</v>
      </c>
    </row>
    <row r="42" spans="1:6" x14ac:dyDescent="0.25">
      <c r="A42" s="34">
        <v>5.7600000000000001E-4</v>
      </c>
      <c r="B42" s="34">
        <v>1.2416799999999999</v>
      </c>
      <c r="E42" s="2">
        <f t="shared" si="1"/>
        <v>1.2411554360151422</v>
      </c>
      <c r="F42">
        <f t="shared" si="0"/>
        <v>5.245639848576733E-4</v>
      </c>
    </row>
    <row r="43" spans="1:6" x14ac:dyDescent="0.25">
      <c r="A43" s="34">
        <v>6.4000000000000005E-4</v>
      </c>
      <c r="B43" s="34">
        <v>1.2428999999999999</v>
      </c>
      <c r="E43" s="2">
        <f t="shared" si="1"/>
        <v>1.2407806961147529</v>
      </c>
      <c r="F43">
        <f t="shared" si="0"/>
        <v>2.1193038852469481E-3</v>
      </c>
    </row>
    <row r="44" spans="1:6" x14ac:dyDescent="0.25">
      <c r="A44" s="34">
        <v>7.0399999999999998E-4</v>
      </c>
      <c r="B44" s="34">
        <v>1.24291</v>
      </c>
      <c r="E44" s="2">
        <f t="shared" si="1"/>
        <v>1.24041482544064</v>
      </c>
      <c r="F44">
        <f t="shared" si="0"/>
        <v>2.4951745593599917E-3</v>
      </c>
    </row>
    <row r="45" spans="1:6" x14ac:dyDescent="0.25">
      <c r="A45" s="34">
        <v>7.6800000000000002E-4</v>
      </c>
      <c r="B45" s="34">
        <v>1.24132</v>
      </c>
      <c r="E45" s="2">
        <f t="shared" si="1"/>
        <v>1.2400575612395262</v>
      </c>
      <c r="F45">
        <f t="shared" si="0"/>
        <v>1.2624387604738274E-3</v>
      </c>
    </row>
    <row r="46" spans="1:6" x14ac:dyDescent="0.25">
      <c r="A46" s="34">
        <v>8.3199999999999995E-4</v>
      </c>
      <c r="B46" s="34">
        <v>1.24004</v>
      </c>
      <c r="E46" s="2">
        <f t="shared" si="1"/>
        <v>1.2397086485870505</v>
      </c>
      <c r="F46">
        <f t="shared" si="0"/>
        <v>3.3135141294948767E-4</v>
      </c>
    </row>
    <row r="47" spans="1:6" x14ac:dyDescent="0.25">
      <c r="A47" s="34">
        <v>8.9599999999999999E-4</v>
      </c>
      <c r="B47" s="34">
        <v>1.23804</v>
      </c>
      <c r="E47" s="2">
        <f t="shared" si="1"/>
        <v>1.2393678401544277</v>
      </c>
      <c r="F47">
        <f t="shared" si="0"/>
        <v>-1.3278401544276619E-3</v>
      </c>
    </row>
    <row r="48" spans="1:6" x14ac:dyDescent="0.25">
      <c r="A48" s="34">
        <v>9.6000000000000002E-4</v>
      </c>
      <c r="B48" s="34">
        <v>1.2366999999999999</v>
      </c>
      <c r="E48" s="2">
        <f t="shared" si="1"/>
        <v>1.239034895982061</v>
      </c>
      <c r="F48">
        <f t="shared" si="0"/>
        <v>-2.3348959820610471E-3</v>
      </c>
    </row>
    <row r="49" spans="1:6" x14ac:dyDescent="0.25">
      <c r="A49" s="34">
        <v>1.024E-3</v>
      </c>
      <c r="B49" s="34">
        <v>1.2384299999999999</v>
      </c>
      <c r="E49" s="2">
        <f t="shared" si="1"/>
        <v>1.2387095832599058</v>
      </c>
      <c r="F49">
        <f t="shared" si="0"/>
        <v>-2.7958325990584676E-4</v>
      </c>
    </row>
    <row r="50" spans="1:6" x14ac:dyDescent="0.25">
      <c r="A50" s="34">
        <v>1.152E-3</v>
      </c>
      <c r="B50" s="34">
        <v>1.2360199999999999</v>
      </c>
      <c r="E50" s="2">
        <f t="shared" si="1"/>
        <v>1.2380809554016203</v>
      </c>
      <c r="F50">
        <f t="shared" si="0"/>
        <v>-2.0609554016204346E-3</v>
      </c>
    </row>
    <row r="51" spans="1:6" x14ac:dyDescent="0.25">
      <c r="A51" s="34">
        <v>1.2800000000000001E-3</v>
      </c>
      <c r="B51" s="34">
        <v>1.23603</v>
      </c>
      <c r="E51" s="2">
        <f t="shared" si="1"/>
        <v>1.2374802291501121</v>
      </c>
      <c r="F51">
        <f t="shared" si="0"/>
        <v>-1.45022915011217E-3</v>
      </c>
    </row>
    <row r="52" spans="1:6" x14ac:dyDescent="0.25">
      <c r="A52" s="34">
        <v>1.408E-3</v>
      </c>
      <c r="B52" s="34">
        <v>1.2360500000000001</v>
      </c>
      <c r="E52" s="2">
        <f t="shared" si="1"/>
        <v>1.2369057784751465</v>
      </c>
      <c r="F52">
        <f t="shared" si="0"/>
        <v>-8.5577847514639593E-4</v>
      </c>
    </row>
    <row r="53" spans="1:6" x14ac:dyDescent="0.25">
      <c r="A53" s="34">
        <v>1.536E-3</v>
      </c>
      <c r="B53" s="34">
        <v>1.23759</v>
      </c>
      <c r="E53" s="2">
        <f t="shared" si="1"/>
        <v>1.2363560727915552</v>
      </c>
      <c r="F53">
        <f t="shared" si="0"/>
        <v>1.2339272084447295E-3</v>
      </c>
    </row>
    <row r="54" spans="1:6" x14ac:dyDescent="0.25">
      <c r="A54" s="34">
        <v>1.6639999999999999E-3</v>
      </c>
      <c r="B54" s="34">
        <v>1.2317499999999999</v>
      </c>
      <c r="E54" s="2">
        <f t="shared" si="1"/>
        <v>1.2358296713547536</v>
      </c>
      <c r="F54">
        <f t="shared" si="0"/>
        <v>-4.0796713547537333E-3</v>
      </c>
    </row>
    <row r="55" spans="1:6" x14ac:dyDescent="0.25">
      <c r="A55" s="34">
        <v>1.792E-3</v>
      </c>
      <c r="B55" s="34">
        <v>1.2386600000000001</v>
      </c>
      <c r="E55" s="2">
        <f t="shared" si="1"/>
        <v>1.2353252179853957</v>
      </c>
      <c r="F55">
        <f t="shared" si="0"/>
        <v>3.3347820146043539E-3</v>
      </c>
    </row>
    <row r="56" spans="1:6" x14ac:dyDescent="0.25">
      <c r="A56" s="34">
        <v>1.92E-3</v>
      </c>
      <c r="B56" s="34">
        <v>1.2352099999999999</v>
      </c>
      <c r="E56" s="2">
        <f t="shared" si="1"/>
        <v>1.2348414361038331</v>
      </c>
      <c r="F56">
        <f t="shared" si="0"/>
        <v>3.6856389616679586E-4</v>
      </c>
    </row>
    <row r="57" spans="1:6" x14ac:dyDescent="0.25">
      <c r="A57" s="34">
        <v>2.0479999999999999E-3</v>
      </c>
      <c r="B57" s="34">
        <v>1.2341599999999999</v>
      </c>
      <c r="E57" s="2">
        <f t="shared" si="1"/>
        <v>1.2343771240561852</v>
      </c>
      <c r="F57">
        <f t="shared" si="0"/>
        <v>-2.1712405618523611E-4</v>
      </c>
    </row>
    <row r="58" spans="1:6" x14ac:dyDescent="0.25">
      <c r="A58" s="34">
        <v>2.3040000000000001E-3</v>
      </c>
      <c r="B58" s="34">
        <v>1.23529</v>
      </c>
      <c r="E58" s="2">
        <f t="shared" si="1"/>
        <v>1.2335024513376105</v>
      </c>
      <c r="F58">
        <f t="shared" si="0"/>
        <v>1.7875486623895043E-3</v>
      </c>
    </row>
    <row r="59" spans="1:6" x14ac:dyDescent="0.25">
      <c r="A59" s="34">
        <v>2.5600000000000002E-3</v>
      </c>
      <c r="B59" s="34">
        <v>1.23132</v>
      </c>
      <c r="E59" s="2">
        <f t="shared" si="1"/>
        <v>1.2326929242734077</v>
      </c>
      <c r="F59">
        <f t="shared" si="0"/>
        <v>-1.3729242734077385E-3</v>
      </c>
    </row>
    <row r="60" spans="1:6" x14ac:dyDescent="0.25">
      <c r="A60" s="34">
        <v>2.8159999999999999E-3</v>
      </c>
      <c r="B60" s="34">
        <v>1.2321800000000001</v>
      </c>
      <c r="E60" s="2">
        <f t="shared" si="1"/>
        <v>1.231941210125002</v>
      </c>
      <c r="F60">
        <f t="shared" si="0"/>
        <v>2.387898749980355E-4</v>
      </c>
    </row>
    <row r="61" spans="1:6" x14ac:dyDescent="0.25">
      <c r="A61" s="34">
        <v>3.0720000000000001E-3</v>
      </c>
      <c r="B61" s="34">
        <v>1.2304999999999999</v>
      </c>
      <c r="E61" s="2">
        <f t="shared" si="1"/>
        <v>1.2312408115064724</v>
      </c>
      <c r="F61">
        <f t="shared" si="0"/>
        <v>-7.4081150647242744E-4</v>
      </c>
    </row>
    <row r="62" spans="1:6" x14ac:dyDescent="0.25">
      <c r="A62" s="34">
        <v>3.3279999999999998E-3</v>
      </c>
      <c r="B62" s="34">
        <v>1.2307399999999999</v>
      </c>
      <c r="E62" s="2">
        <f t="shared" si="1"/>
        <v>1.2305859711703286</v>
      </c>
      <c r="F62">
        <f t="shared" si="0"/>
        <v>1.5402882967130438E-4</v>
      </c>
    </row>
    <row r="63" spans="1:6" x14ac:dyDescent="0.25">
      <c r="A63" s="34">
        <v>3.5839999999999999E-3</v>
      </c>
      <c r="B63" s="34">
        <v>1.2311700000000001</v>
      </c>
      <c r="E63" s="2">
        <f t="shared" si="1"/>
        <v>1.2299715876473665</v>
      </c>
      <c r="F63">
        <f t="shared" si="0"/>
        <v>1.1984123526336266E-3</v>
      </c>
    </row>
    <row r="64" spans="1:6" x14ac:dyDescent="0.25">
      <c r="A64" s="34">
        <v>3.8400000000000001E-3</v>
      </c>
      <c r="B64" s="34">
        <v>1.2303999999999999</v>
      </c>
      <c r="E64" s="2">
        <f t="shared" si="1"/>
        <v>1.2293931405031218</v>
      </c>
      <c r="F64">
        <f t="shared" si="0"/>
        <v>1.0068594968781763E-3</v>
      </c>
    </row>
    <row r="65" spans="1:6" x14ac:dyDescent="0.25">
      <c r="A65" s="34">
        <v>4.0959999999999998E-3</v>
      </c>
      <c r="B65" s="34">
        <v>1.2302200000000001</v>
      </c>
      <c r="E65" s="2">
        <f t="shared" si="1"/>
        <v>1.2288466241145566</v>
      </c>
      <c r="F65">
        <f t="shared" si="0"/>
        <v>1.3733758854435063E-3</v>
      </c>
    </row>
    <row r="66" spans="1:6" x14ac:dyDescent="0.25">
      <c r="A66" s="34">
        <v>4.6080000000000001E-3</v>
      </c>
      <c r="B66" s="34">
        <v>1.22855</v>
      </c>
      <c r="E66" s="2">
        <f t="shared" si="1"/>
        <v>1.2278355898109969</v>
      </c>
      <c r="F66">
        <f t="shared" ref="F66:F129" si="2">B66-E66</f>
        <v>7.1441018900308961E-4</v>
      </c>
    </row>
    <row r="67" spans="1:6" x14ac:dyDescent="0.25">
      <c r="A67" s="34">
        <v>5.1200000000000004E-3</v>
      </c>
      <c r="B67" s="34">
        <v>1.22767</v>
      </c>
      <c r="E67" s="2">
        <f t="shared" ref="E67:E130" si="3">$D$2+1/$D$3*($D$8/(1+A67/$D$4)/SQRT(1+A67/$D$4/$D$5/$D$5)+(1-$D$8)/(1+A67/$D$6)/SQRT(1+A67/$D$6/$D$7/$D$7))*(1+$D$9*EXP(-A67/$D$10)+$D$11*EXP(-A67/$D$12))</f>
        <v>1.2269146675453668</v>
      </c>
      <c r="F67">
        <f t="shared" si="2"/>
        <v>7.5533245463321741E-4</v>
      </c>
    </row>
    <row r="68" spans="1:6" x14ac:dyDescent="0.25">
      <c r="A68" s="34">
        <v>5.6319999999999999E-3</v>
      </c>
      <c r="B68" s="34">
        <v>1.22679</v>
      </c>
      <c r="E68" s="2">
        <f t="shared" si="3"/>
        <v>1.2260651538913454</v>
      </c>
      <c r="F68">
        <f t="shared" si="2"/>
        <v>7.2484610865464205E-4</v>
      </c>
    </row>
    <row r="69" spans="1:6" x14ac:dyDescent="0.25">
      <c r="A69" s="34">
        <v>6.1440000000000002E-3</v>
      </c>
      <c r="B69" s="34">
        <v>1.2240200000000001</v>
      </c>
      <c r="E69" s="2">
        <f t="shared" si="3"/>
        <v>1.2252723600437627</v>
      </c>
      <c r="F69">
        <f t="shared" si="2"/>
        <v>-1.2523600437626126E-3</v>
      </c>
    </row>
    <row r="70" spans="1:6" x14ac:dyDescent="0.25">
      <c r="A70" s="34">
        <v>6.6559999999999996E-3</v>
      </c>
      <c r="B70" s="34">
        <v>1.22427</v>
      </c>
      <c r="E70" s="2">
        <f t="shared" si="3"/>
        <v>1.2245247489576256</v>
      </c>
      <c r="F70">
        <f t="shared" si="2"/>
        <v>-2.5474895762567229E-4</v>
      </c>
    </row>
    <row r="71" spans="1:6" x14ac:dyDescent="0.25">
      <c r="A71" s="34">
        <v>7.1679999999999999E-3</v>
      </c>
      <c r="B71" s="34">
        <v>1.22357</v>
      </c>
      <c r="E71" s="2">
        <f t="shared" si="3"/>
        <v>1.2238132579709364</v>
      </c>
      <c r="F71">
        <f t="shared" si="2"/>
        <v>-2.4325797093638357E-4</v>
      </c>
    </row>
    <row r="72" spans="1:6" x14ac:dyDescent="0.25">
      <c r="A72" s="34">
        <v>7.6800000000000002E-3</v>
      </c>
      <c r="B72" s="34">
        <v>1.2240599999999999</v>
      </c>
      <c r="E72" s="2">
        <f t="shared" si="3"/>
        <v>1.2231307670347942</v>
      </c>
      <c r="F72">
        <f t="shared" si="2"/>
        <v>9.2923296520575072E-4</v>
      </c>
    </row>
    <row r="73" spans="1:6" x14ac:dyDescent="0.25">
      <c r="A73" s="34">
        <v>8.1919999999999996E-3</v>
      </c>
      <c r="B73" s="34">
        <v>1.2230799999999999</v>
      </c>
      <c r="E73" s="2">
        <f t="shared" si="3"/>
        <v>1.2224716812480809</v>
      </c>
      <c r="F73">
        <f t="shared" si="2"/>
        <v>6.0831875191902363E-4</v>
      </c>
    </row>
    <row r="74" spans="1:6" x14ac:dyDescent="0.25">
      <c r="A74" s="34">
        <v>9.2160000000000002E-3</v>
      </c>
      <c r="B74" s="34">
        <v>1.2207399999999999</v>
      </c>
      <c r="E74" s="2">
        <f t="shared" si="3"/>
        <v>1.2212070753003514</v>
      </c>
      <c r="F74">
        <f t="shared" si="2"/>
        <v>-4.6707530035150491E-4</v>
      </c>
    </row>
    <row r="75" spans="1:6" x14ac:dyDescent="0.25">
      <c r="A75" s="34">
        <v>1.0240000000000001E-2</v>
      </c>
      <c r="B75" s="34">
        <v>1.2205900000000001</v>
      </c>
      <c r="E75" s="2">
        <f t="shared" si="3"/>
        <v>1.2199943731893992</v>
      </c>
      <c r="F75">
        <f t="shared" si="2"/>
        <v>5.9562681060087996E-4</v>
      </c>
    </row>
    <row r="76" spans="1:6" x14ac:dyDescent="0.25">
      <c r="A76" s="34">
        <v>1.1264E-2</v>
      </c>
      <c r="B76" s="34">
        <v>1.2197199999999999</v>
      </c>
      <c r="E76" s="2">
        <f t="shared" si="3"/>
        <v>1.2188180555207155</v>
      </c>
      <c r="F76">
        <f t="shared" si="2"/>
        <v>9.0194447928437782E-4</v>
      </c>
    </row>
    <row r="77" spans="1:6" x14ac:dyDescent="0.25">
      <c r="A77" s="34">
        <v>1.2288E-2</v>
      </c>
      <c r="B77" s="34">
        <v>1.21576</v>
      </c>
      <c r="E77" s="2">
        <f t="shared" si="3"/>
        <v>1.2176684892728598</v>
      </c>
      <c r="F77">
        <f t="shared" si="2"/>
        <v>-1.9084892728598035E-3</v>
      </c>
    </row>
    <row r="78" spans="1:6" x14ac:dyDescent="0.25">
      <c r="A78" s="34">
        <v>1.3311999999999999E-2</v>
      </c>
      <c r="B78" s="34">
        <v>1.2156899999999999</v>
      </c>
      <c r="E78" s="2">
        <f t="shared" si="3"/>
        <v>1.2165396711590044</v>
      </c>
      <c r="F78">
        <f t="shared" si="2"/>
        <v>-8.4967115900447254E-4</v>
      </c>
    </row>
    <row r="79" spans="1:6" x14ac:dyDescent="0.25">
      <c r="A79" s="34">
        <v>1.4336E-2</v>
      </c>
      <c r="B79" s="34">
        <v>1.2157899999999999</v>
      </c>
      <c r="E79" s="2">
        <f t="shared" si="3"/>
        <v>1.21542783664832</v>
      </c>
      <c r="F79">
        <f t="shared" si="2"/>
        <v>3.6216335167993385E-4</v>
      </c>
    </row>
    <row r="80" spans="1:6" x14ac:dyDescent="0.25">
      <c r="A80" s="34">
        <v>1.536E-2</v>
      </c>
      <c r="B80" s="34">
        <v>1.21462</v>
      </c>
      <c r="E80" s="2">
        <f t="shared" si="3"/>
        <v>1.2143306025384499</v>
      </c>
      <c r="F80">
        <f t="shared" si="2"/>
        <v>2.8939746155010049E-4</v>
      </c>
    </row>
    <row r="81" spans="1:6" x14ac:dyDescent="0.25">
      <c r="A81" s="34">
        <v>1.6383999999999999E-2</v>
      </c>
      <c r="B81" s="34">
        <v>1.21245</v>
      </c>
      <c r="E81" s="2">
        <f t="shared" si="3"/>
        <v>1.2132464383932273</v>
      </c>
      <c r="F81">
        <f t="shared" si="2"/>
        <v>-7.9643839322729448E-4</v>
      </c>
    </row>
    <row r="82" spans="1:6" x14ac:dyDescent="0.25">
      <c r="A82" s="34">
        <v>1.8432E-2</v>
      </c>
      <c r="B82" s="34">
        <v>1.2109000000000001</v>
      </c>
      <c r="E82" s="2">
        <f t="shared" si="3"/>
        <v>1.2111136319157532</v>
      </c>
      <c r="F82">
        <f t="shared" si="2"/>
        <v>-2.1363191575307638E-4</v>
      </c>
    </row>
    <row r="83" spans="1:6" x14ac:dyDescent="0.25">
      <c r="A83" s="34">
        <v>2.0480000000000002E-2</v>
      </c>
      <c r="B83" s="34">
        <v>1.2091099999999999</v>
      </c>
      <c r="E83" s="2">
        <f t="shared" si="3"/>
        <v>1.2090246053856526</v>
      </c>
      <c r="F83">
        <f t="shared" si="2"/>
        <v>8.5394614347311659E-5</v>
      </c>
    </row>
    <row r="84" spans="1:6" x14ac:dyDescent="0.25">
      <c r="A84" s="34">
        <v>2.2527999999999999E-2</v>
      </c>
      <c r="B84" s="34">
        <v>1.2073799999999999</v>
      </c>
      <c r="E84" s="2">
        <f t="shared" si="3"/>
        <v>1.2069767999303711</v>
      </c>
      <c r="F84">
        <f t="shared" si="2"/>
        <v>4.0320006962879518E-4</v>
      </c>
    </row>
    <row r="85" spans="1:6" x14ac:dyDescent="0.25">
      <c r="A85" s="34">
        <v>2.4576000000000001E-2</v>
      </c>
      <c r="B85" s="34">
        <v>1.2049700000000001</v>
      </c>
      <c r="E85" s="2">
        <f t="shared" si="3"/>
        <v>1.2049685408645849</v>
      </c>
      <c r="F85">
        <f t="shared" si="2"/>
        <v>1.4591354151605174E-6</v>
      </c>
    </row>
    <row r="86" spans="1:6" x14ac:dyDescent="0.25">
      <c r="A86" s="34">
        <v>2.6623999999999998E-2</v>
      </c>
      <c r="B86" s="34">
        <v>1.20278</v>
      </c>
      <c r="E86" s="2">
        <f t="shared" si="3"/>
        <v>1.2029985161094219</v>
      </c>
      <c r="F86">
        <f t="shared" si="2"/>
        <v>-2.185161094219179E-4</v>
      </c>
    </row>
    <row r="87" spans="1:6" x14ac:dyDescent="0.25">
      <c r="A87" s="34">
        <v>2.8672E-2</v>
      </c>
      <c r="B87" s="34">
        <v>1.1993799999999999</v>
      </c>
      <c r="E87" s="2">
        <f t="shared" si="3"/>
        <v>1.201065576682028</v>
      </c>
      <c r="F87">
        <f t="shared" si="2"/>
        <v>-1.6855766820280671E-3</v>
      </c>
    </row>
    <row r="88" spans="1:6" x14ac:dyDescent="0.25">
      <c r="A88" s="34">
        <v>3.0720000000000001E-2</v>
      </c>
      <c r="B88" s="34">
        <v>1.19889</v>
      </c>
      <c r="E88" s="2">
        <f t="shared" si="3"/>
        <v>1.1991686596782098</v>
      </c>
      <c r="F88">
        <f t="shared" si="2"/>
        <v>-2.7865967820983606E-4</v>
      </c>
    </row>
    <row r="89" spans="1:6" x14ac:dyDescent="0.25">
      <c r="A89" s="34">
        <v>3.2767999999999999E-2</v>
      </c>
      <c r="B89" s="34">
        <v>1.1975800000000001</v>
      </c>
      <c r="E89" s="2">
        <f t="shared" si="3"/>
        <v>1.1973067578858776</v>
      </c>
      <c r="F89">
        <f t="shared" si="2"/>
        <v>2.732421141224961E-4</v>
      </c>
    </row>
    <row r="90" spans="1:6" x14ac:dyDescent="0.25">
      <c r="A90" s="34">
        <v>3.6864000000000001E-2</v>
      </c>
      <c r="B90" s="34">
        <v>1.1932199999999999</v>
      </c>
      <c r="E90" s="2">
        <f t="shared" si="3"/>
        <v>1.1936841807825402</v>
      </c>
      <c r="F90">
        <f t="shared" si="2"/>
        <v>-4.6418078254029105E-4</v>
      </c>
    </row>
    <row r="91" spans="1:6" x14ac:dyDescent="0.25">
      <c r="A91" s="34">
        <v>4.0960000000000003E-2</v>
      </c>
      <c r="B91" s="34">
        <v>1.19001</v>
      </c>
      <c r="E91" s="2">
        <f t="shared" si="3"/>
        <v>1.1901905625082783</v>
      </c>
      <c r="F91">
        <f t="shared" si="2"/>
        <v>-1.8056250827824805E-4</v>
      </c>
    </row>
    <row r="92" spans="1:6" x14ac:dyDescent="0.25">
      <c r="A92" s="34">
        <v>4.5055999999999999E-2</v>
      </c>
      <c r="B92" s="34">
        <v>1.18699</v>
      </c>
      <c r="E92" s="2">
        <f t="shared" si="3"/>
        <v>1.1868191379397643</v>
      </c>
      <c r="F92">
        <f t="shared" si="2"/>
        <v>1.7086206023564365E-4</v>
      </c>
    </row>
    <row r="93" spans="1:6" x14ac:dyDescent="0.25">
      <c r="A93" s="34">
        <v>4.9152000000000001E-2</v>
      </c>
      <c r="B93" s="34">
        <v>1.1835500000000001</v>
      </c>
      <c r="E93" s="2">
        <f t="shared" si="3"/>
        <v>1.1835636081375418</v>
      </c>
      <c r="F93">
        <f t="shared" si="2"/>
        <v>-1.360813754169854E-5</v>
      </c>
    </row>
    <row r="94" spans="1:6" x14ac:dyDescent="0.25">
      <c r="A94" s="34">
        <v>5.3247999999999997E-2</v>
      </c>
      <c r="B94" s="34">
        <v>1.1803699999999999</v>
      </c>
      <c r="E94" s="2">
        <f t="shared" si="3"/>
        <v>1.1804180999460381</v>
      </c>
      <c r="F94">
        <f t="shared" si="2"/>
        <v>-4.8099946038160368E-5</v>
      </c>
    </row>
    <row r="95" spans="1:6" x14ac:dyDescent="0.25">
      <c r="A95" s="34">
        <v>5.7343999999999999E-2</v>
      </c>
      <c r="B95" s="34">
        <v>1.1773100000000001</v>
      </c>
      <c r="E95" s="2">
        <f t="shared" si="3"/>
        <v>1.1773771304804388</v>
      </c>
      <c r="F95">
        <f t="shared" si="2"/>
        <v>-6.7130480438715168E-5</v>
      </c>
    </row>
    <row r="96" spans="1:6" x14ac:dyDescent="0.25">
      <c r="A96" s="34">
        <v>6.1440000000000002E-2</v>
      </c>
      <c r="B96" s="34">
        <v>1.17441</v>
      </c>
      <c r="E96" s="2">
        <f t="shared" si="3"/>
        <v>1.1744355752200655</v>
      </c>
      <c r="F96">
        <f t="shared" si="2"/>
        <v>-2.5575220065521265E-5</v>
      </c>
    </row>
    <row r="97" spans="1:6" x14ac:dyDescent="0.25">
      <c r="A97" s="34">
        <v>6.5535999999999997E-2</v>
      </c>
      <c r="B97" s="34">
        <v>1.17195</v>
      </c>
      <c r="E97" s="2">
        <f t="shared" si="3"/>
        <v>1.1715886391976913</v>
      </c>
      <c r="F97">
        <f t="shared" si="2"/>
        <v>3.6136080230875223E-4</v>
      </c>
    </row>
    <row r="98" spans="1:6" x14ac:dyDescent="0.25">
      <c r="A98" s="34">
        <v>7.3728000000000002E-2</v>
      </c>
      <c r="B98" s="34">
        <v>1.1664000000000001</v>
      </c>
      <c r="E98" s="2">
        <f t="shared" si="3"/>
        <v>1.1661609387652927</v>
      </c>
      <c r="F98">
        <f t="shared" si="2"/>
        <v>2.3906123470740503E-4</v>
      </c>
    </row>
    <row r="99" spans="1:6" x14ac:dyDescent="0.25">
      <c r="A99" s="34">
        <v>8.1920000000000007E-2</v>
      </c>
      <c r="B99" s="34">
        <v>1.16144</v>
      </c>
      <c r="E99" s="2">
        <f t="shared" si="3"/>
        <v>1.1610613286099736</v>
      </c>
      <c r="F99">
        <f t="shared" si="2"/>
        <v>3.7867139002645267E-4</v>
      </c>
    </row>
    <row r="100" spans="1:6" x14ac:dyDescent="0.25">
      <c r="A100" s="34">
        <v>9.0111999999999998E-2</v>
      </c>
      <c r="B100" s="34">
        <v>1.1561399999999999</v>
      </c>
      <c r="E100" s="2">
        <f t="shared" si="3"/>
        <v>1.1562609440216474</v>
      </c>
      <c r="F100">
        <f t="shared" si="2"/>
        <v>-1.209440216474178E-4</v>
      </c>
    </row>
    <row r="101" spans="1:6" x14ac:dyDescent="0.25">
      <c r="A101" s="34">
        <v>9.8304000000000002E-2</v>
      </c>
      <c r="B101" s="34">
        <v>1.15181</v>
      </c>
      <c r="E101" s="2">
        <f t="shared" si="3"/>
        <v>1.1517342097316994</v>
      </c>
      <c r="F101">
        <f t="shared" si="2"/>
        <v>7.5790268300623964E-5</v>
      </c>
    </row>
    <row r="102" spans="1:6" x14ac:dyDescent="0.25">
      <c r="A102" s="34">
        <v>0.10649599999999999</v>
      </c>
      <c r="B102" s="34">
        <v>1.14733</v>
      </c>
      <c r="E102" s="2">
        <f t="shared" si="3"/>
        <v>1.1474583843096935</v>
      </c>
      <c r="F102">
        <f t="shared" si="2"/>
        <v>-1.2838430969352999E-4</v>
      </c>
    </row>
    <row r="103" spans="1:6" x14ac:dyDescent="0.25">
      <c r="A103" s="34">
        <v>0.114688</v>
      </c>
      <c r="B103" s="34">
        <v>1.1434599999999999</v>
      </c>
      <c r="E103" s="2">
        <f t="shared" si="3"/>
        <v>1.1434131782428669</v>
      </c>
      <c r="F103">
        <f t="shared" si="2"/>
        <v>4.6821757132997632E-5</v>
      </c>
    </row>
    <row r="104" spans="1:6" x14ac:dyDescent="0.25">
      <c r="A104" s="34">
        <v>0.12288</v>
      </c>
      <c r="B104" s="34">
        <v>1.1394200000000001</v>
      </c>
      <c r="E104" s="2">
        <f t="shared" si="3"/>
        <v>1.1395804321608323</v>
      </c>
      <c r="F104">
        <f t="shared" si="2"/>
        <v>-1.6043216083216905E-4</v>
      </c>
    </row>
    <row r="105" spans="1:6" x14ac:dyDescent="0.25">
      <c r="A105" s="34">
        <v>0.13107199999999999</v>
      </c>
      <c r="B105" s="34">
        <v>1.13609</v>
      </c>
      <c r="E105" s="2">
        <f t="shared" si="3"/>
        <v>1.135943844437759</v>
      </c>
      <c r="F105">
        <f t="shared" si="2"/>
        <v>1.4615556224106818E-4</v>
      </c>
    </row>
    <row r="106" spans="1:6" x14ac:dyDescent="0.25">
      <c r="A106" s="34">
        <v>0.147456</v>
      </c>
      <c r="B106" s="34">
        <v>1.1291800000000001</v>
      </c>
      <c r="E106" s="2">
        <f t="shared" si="3"/>
        <v>1.1292018702648543</v>
      </c>
      <c r="F106">
        <f t="shared" si="2"/>
        <v>-2.1870264854229049E-5</v>
      </c>
    </row>
    <row r="107" spans="1:6" x14ac:dyDescent="0.25">
      <c r="A107" s="34">
        <v>0.16384000000000001</v>
      </c>
      <c r="B107" s="34">
        <v>1.1229199999999999</v>
      </c>
      <c r="E107" s="2">
        <f t="shared" si="3"/>
        <v>1.123085996759819</v>
      </c>
      <c r="F107">
        <f t="shared" si="2"/>
        <v>-1.6599675981909812E-4</v>
      </c>
    </row>
    <row r="108" spans="1:6" x14ac:dyDescent="0.25">
      <c r="A108" s="34">
        <v>0.180224</v>
      </c>
      <c r="B108" s="34">
        <v>1.1180099999999999</v>
      </c>
      <c r="E108" s="2">
        <f t="shared" si="3"/>
        <v>1.1175129267134052</v>
      </c>
      <c r="F108">
        <f t="shared" si="2"/>
        <v>4.9707328659476246E-4</v>
      </c>
    </row>
    <row r="109" spans="1:6" x14ac:dyDescent="0.25">
      <c r="A109" s="34">
        <v>0.196608</v>
      </c>
      <c r="B109" s="34">
        <v>1.1124400000000001</v>
      </c>
      <c r="E109" s="2">
        <f t="shared" si="3"/>
        <v>1.1124135111225557</v>
      </c>
      <c r="F109">
        <f t="shared" si="2"/>
        <v>2.6488877444386105E-5</v>
      </c>
    </row>
    <row r="110" spans="1:6" x14ac:dyDescent="0.25">
      <c r="A110" s="34">
        <v>0.21299199999999999</v>
      </c>
      <c r="B110" s="34">
        <v>1.10765</v>
      </c>
      <c r="E110" s="2">
        <f t="shared" si="3"/>
        <v>1.1077298676727225</v>
      </c>
      <c r="F110">
        <f t="shared" si="2"/>
        <v>-7.986767272250006E-5</v>
      </c>
    </row>
    <row r="111" spans="1:6" x14ac:dyDescent="0.25">
      <c r="A111" s="34">
        <v>0.229376</v>
      </c>
      <c r="B111" s="34">
        <v>1.10347</v>
      </c>
      <c r="E111" s="2">
        <f t="shared" si="3"/>
        <v>1.1034131758995984</v>
      </c>
      <c r="F111">
        <f t="shared" si="2"/>
        <v>5.6824100401531297E-5</v>
      </c>
    </row>
    <row r="112" spans="1:6" x14ac:dyDescent="0.25">
      <c r="A112" s="34">
        <v>0.24576000000000001</v>
      </c>
      <c r="B112" s="34">
        <v>1.0992299999999999</v>
      </c>
      <c r="E112" s="2">
        <f t="shared" si="3"/>
        <v>1.099421970620853</v>
      </c>
      <c r="F112">
        <f t="shared" si="2"/>
        <v>-1.9197062085307692E-4</v>
      </c>
    </row>
    <row r="113" spans="1:6" x14ac:dyDescent="0.25">
      <c r="A113" s="34">
        <v>0.26214399999999999</v>
      </c>
      <c r="B113" s="34">
        <v>1.0956300000000001</v>
      </c>
      <c r="E113" s="2">
        <f t="shared" si="3"/>
        <v>1.0957208070353324</v>
      </c>
      <c r="F113">
        <f t="shared" si="2"/>
        <v>-9.0807035332263197E-5</v>
      </c>
    </row>
    <row r="114" spans="1:6" x14ac:dyDescent="0.25">
      <c r="A114" s="34">
        <v>0.29491200000000001</v>
      </c>
      <c r="B114" s="34">
        <v>1.0891599999999999</v>
      </c>
      <c r="E114" s="2">
        <f t="shared" si="3"/>
        <v>1.0890708155663988</v>
      </c>
      <c r="F114">
        <f t="shared" si="2"/>
        <v>8.9184433601063873E-5</v>
      </c>
    </row>
    <row r="115" spans="1:6" x14ac:dyDescent="0.25">
      <c r="A115" s="34">
        <v>0.32768000000000003</v>
      </c>
      <c r="B115" s="34">
        <v>1.0831500000000001</v>
      </c>
      <c r="E115" s="2">
        <f t="shared" si="3"/>
        <v>1.0832649571160489</v>
      </c>
      <c r="F115">
        <f t="shared" si="2"/>
        <v>-1.1495711604880832E-4</v>
      </c>
    </row>
    <row r="116" spans="1:6" x14ac:dyDescent="0.25">
      <c r="A116" s="34">
        <v>0.36044799999999999</v>
      </c>
      <c r="B116" s="34">
        <v>1.07806</v>
      </c>
      <c r="E116" s="2">
        <f t="shared" si="3"/>
        <v>1.0781522589426971</v>
      </c>
      <c r="F116">
        <f t="shared" si="2"/>
        <v>-9.2258942697043267E-5</v>
      </c>
    </row>
    <row r="117" spans="1:6" x14ac:dyDescent="0.25">
      <c r="A117" s="34">
        <v>0.39321600000000001</v>
      </c>
      <c r="B117" s="34">
        <v>1.07352</v>
      </c>
      <c r="E117" s="2">
        <f t="shared" si="3"/>
        <v>1.0736157226832419</v>
      </c>
      <c r="F117">
        <f t="shared" si="2"/>
        <v>-9.5722683241872275E-5</v>
      </c>
    </row>
    <row r="118" spans="1:6" x14ac:dyDescent="0.25">
      <c r="A118" s="34">
        <v>0.42598399999999997</v>
      </c>
      <c r="B118" s="34">
        <v>1.0695399999999999</v>
      </c>
      <c r="E118" s="2">
        <f t="shared" si="3"/>
        <v>1.0695632765614773</v>
      </c>
      <c r="F118">
        <f t="shared" si="2"/>
        <v>-2.3276561477381108E-5</v>
      </c>
    </row>
    <row r="119" spans="1:6" x14ac:dyDescent="0.25">
      <c r="A119" s="34">
        <v>0.45875199999999999</v>
      </c>
      <c r="B119" s="34">
        <v>1.06585</v>
      </c>
      <c r="E119" s="2">
        <f t="shared" si="3"/>
        <v>1.0659214728231907</v>
      </c>
      <c r="F119">
        <f t="shared" si="2"/>
        <v>-7.1472823190754653E-5</v>
      </c>
    </row>
    <row r="120" spans="1:6" x14ac:dyDescent="0.25">
      <c r="A120" s="34">
        <v>0.49152000000000001</v>
      </c>
      <c r="B120" s="34">
        <v>1.06254</v>
      </c>
      <c r="E120" s="2">
        <f t="shared" si="3"/>
        <v>1.0626310054100787</v>
      </c>
      <c r="F120">
        <f t="shared" si="2"/>
        <v>-9.1005410078670579E-5</v>
      </c>
    </row>
    <row r="121" spans="1:6" x14ac:dyDescent="0.25">
      <c r="A121" s="34">
        <v>0.52428799999999998</v>
      </c>
      <c r="B121" s="34">
        <v>1.0595600000000001</v>
      </c>
      <c r="E121" s="2">
        <f t="shared" si="3"/>
        <v>1.0596434627200284</v>
      </c>
      <c r="F121">
        <f t="shared" si="2"/>
        <v>-8.3462720028348869E-5</v>
      </c>
    </row>
    <row r="122" spans="1:6" x14ac:dyDescent="0.25">
      <c r="A122" s="34">
        <v>0.58982400000000001</v>
      </c>
      <c r="B122" s="34">
        <v>1.05436</v>
      </c>
      <c r="E122" s="2">
        <f t="shared" si="3"/>
        <v>1.0544242304016991</v>
      </c>
      <c r="F122">
        <f t="shared" si="2"/>
        <v>-6.4230401699116868E-5</v>
      </c>
    </row>
    <row r="123" spans="1:6" x14ac:dyDescent="0.25">
      <c r="A123" s="34">
        <v>0.65536000000000005</v>
      </c>
      <c r="B123" s="34">
        <v>1.0500700000000001</v>
      </c>
      <c r="E123" s="2">
        <f t="shared" si="3"/>
        <v>1.0500172637670577</v>
      </c>
      <c r="F123">
        <f t="shared" si="2"/>
        <v>5.2736232942329764E-5</v>
      </c>
    </row>
    <row r="124" spans="1:6" x14ac:dyDescent="0.25">
      <c r="A124" s="34">
        <v>0.72089599999999998</v>
      </c>
      <c r="B124" s="34">
        <v>1.0463199999999999</v>
      </c>
      <c r="E124" s="2">
        <f t="shared" si="3"/>
        <v>1.0462470545405302</v>
      </c>
      <c r="F124">
        <f t="shared" si="2"/>
        <v>7.2945459469675455E-5</v>
      </c>
    </row>
    <row r="125" spans="1:6" x14ac:dyDescent="0.25">
      <c r="A125" s="34">
        <v>0.78643200000000002</v>
      </c>
      <c r="B125" s="34">
        <v>1.04321</v>
      </c>
      <c r="E125" s="2">
        <f t="shared" si="3"/>
        <v>1.0429852514113656</v>
      </c>
      <c r="F125">
        <f t="shared" si="2"/>
        <v>2.2474858863441582E-4</v>
      </c>
    </row>
    <row r="126" spans="1:6" x14ac:dyDescent="0.25">
      <c r="A126" s="34">
        <v>0.85196799999999995</v>
      </c>
      <c r="B126" s="34">
        <v>1.04044</v>
      </c>
      <c r="E126" s="2">
        <f t="shared" si="3"/>
        <v>1.0401358190808849</v>
      </c>
      <c r="F126">
        <f t="shared" si="2"/>
        <v>3.0418091911510459E-4</v>
      </c>
    </row>
    <row r="127" spans="1:6" x14ac:dyDescent="0.25">
      <c r="A127" s="34">
        <v>0.91750399999999999</v>
      </c>
      <c r="B127" s="34">
        <v>1.0377799999999999</v>
      </c>
      <c r="E127" s="2">
        <f t="shared" si="3"/>
        <v>1.0376254701944816</v>
      </c>
      <c r="F127">
        <f t="shared" si="2"/>
        <v>1.5452980551833306E-4</v>
      </c>
    </row>
    <row r="128" spans="1:6" x14ac:dyDescent="0.25">
      <c r="A128" s="34">
        <v>0.98304000000000002</v>
      </c>
      <c r="B128" s="34">
        <v>1.0357499999999999</v>
      </c>
      <c r="E128" s="2">
        <f t="shared" si="3"/>
        <v>1.0353973066931217</v>
      </c>
      <c r="F128">
        <f t="shared" si="2"/>
        <v>3.5269330687826006E-4</v>
      </c>
    </row>
    <row r="129" spans="1:6" x14ac:dyDescent="0.25">
      <c r="A129" s="34">
        <v>1.048576</v>
      </c>
      <c r="B129" s="34">
        <v>1.0338400000000001</v>
      </c>
      <c r="E129" s="2">
        <f t="shared" si="3"/>
        <v>1.0334064811224946</v>
      </c>
      <c r="F129">
        <f t="shared" si="2"/>
        <v>4.3351887750553431E-4</v>
      </c>
    </row>
    <row r="130" spans="1:6" x14ac:dyDescent="0.25">
      <c r="A130" s="34">
        <v>1.179648</v>
      </c>
      <c r="B130" s="34">
        <v>1.03013</v>
      </c>
      <c r="E130" s="2">
        <f t="shared" si="3"/>
        <v>1.0300003989671442</v>
      </c>
      <c r="F130">
        <f t="shared" ref="F130:F193" si="4">B130-E130</f>
        <v>1.2960103285575286E-4</v>
      </c>
    </row>
    <row r="131" spans="1:6" x14ac:dyDescent="0.25">
      <c r="A131" s="34">
        <v>1.3107200000000001</v>
      </c>
      <c r="B131" s="34">
        <v>1.02732</v>
      </c>
      <c r="E131" s="2">
        <f t="shared" ref="E131:E194" si="5">$D$2+1/$D$3*($D$8/(1+A131/$D$4)/SQRT(1+A131/$D$4/$D$5/$D$5)+(1-$D$8)/(1+A131/$D$6)/SQRT(1+A131/$D$6/$D$7/$D$7))*(1+$D$9*EXP(-A131/$D$10)+$D$11*EXP(-A131/$D$12))</f>
        <v>1.0271939549301428</v>
      </c>
      <c r="F131">
        <f t="shared" si="4"/>
        <v>1.2604506985725017E-4</v>
      </c>
    </row>
    <row r="132" spans="1:6" x14ac:dyDescent="0.25">
      <c r="A132" s="34">
        <v>1.441792</v>
      </c>
      <c r="B132" s="34">
        <v>1.02498</v>
      </c>
      <c r="E132" s="2">
        <f t="shared" si="5"/>
        <v>1.0248424422790043</v>
      </c>
      <c r="F132">
        <f t="shared" si="4"/>
        <v>1.3755772099566244E-4</v>
      </c>
    </row>
    <row r="133" spans="1:6" x14ac:dyDescent="0.25">
      <c r="A133" s="34">
        <v>1.572864</v>
      </c>
      <c r="B133" s="34">
        <v>1.02288</v>
      </c>
      <c r="E133" s="2">
        <f t="shared" si="5"/>
        <v>1.0228442162835658</v>
      </c>
      <c r="F133">
        <f t="shared" si="4"/>
        <v>3.5783716434201196E-5</v>
      </c>
    </row>
    <row r="134" spans="1:6" x14ac:dyDescent="0.25">
      <c r="A134" s="34">
        <v>1.7039359999999999</v>
      </c>
      <c r="B134" s="34">
        <v>1.02121</v>
      </c>
      <c r="E134" s="2">
        <f t="shared" si="5"/>
        <v>1.0211257870341246</v>
      </c>
      <c r="F134">
        <f t="shared" si="4"/>
        <v>8.4212965875352097E-5</v>
      </c>
    </row>
    <row r="135" spans="1:6" x14ac:dyDescent="0.25">
      <c r="A135" s="34">
        <v>1.835008</v>
      </c>
      <c r="B135" s="34">
        <v>1.0198799999999999</v>
      </c>
      <c r="E135" s="2">
        <f t="shared" si="5"/>
        <v>1.0196327038294621</v>
      </c>
      <c r="F135">
        <f t="shared" si="4"/>
        <v>2.4729617053775854E-4</v>
      </c>
    </row>
    <row r="136" spans="1:6" x14ac:dyDescent="0.25">
      <c r="A136" s="34">
        <v>1.96608</v>
      </c>
      <c r="B136" s="34">
        <v>1.01858</v>
      </c>
      <c r="E136" s="2">
        <f t="shared" si="5"/>
        <v>1.0183237656965598</v>
      </c>
      <c r="F136">
        <f t="shared" si="4"/>
        <v>2.5623430344023923E-4</v>
      </c>
    </row>
    <row r="137" spans="1:6" x14ac:dyDescent="0.25">
      <c r="A137" s="34">
        <v>2.0971519999999999</v>
      </c>
      <c r="B137" s="34">
        <v>1.0174399999999999</v>
      </c>
      <c r="E137" s="2">
        <f t="shared" si="5"/>
        <v>1.0171672232964915</v>
      </c>
      <c r="F137">
        <f t="shared" si="4"/>
        <v>2.7277670350844829E-4</v>
      </c>
    </row>
    <row r="138" spans="1:6" x14ac:dyDescent="0.25">
      <c r="A138" s="34">
        <v>2.3592960000000001</v>
      </c>
      <c r="B138" s="34">
        <v>1.0153700000000001</v>
      </c>
      <c r="E138" s="2">
        <f t="shared" si="5"/>
        <v>1.0152170022364371</v>
      </c>
      <c r="F138">
        <f t="shared" si="4"/>
        <v>1.5299776356303418E-4</v>
      </c>
    </row>
    <row r="139" spans="1:6" x14ac:dyDescent="0.25">
      <c r="A139" s="34">
        <v>2.6214400000000002</v>
      </c>
      <c r="B139" s="34">
        <v>1.01376</v>
      </c>
      <c r="E139" s="2">
        <f t="shared" si="5"/>
        <v>1.0136374073320007</v>
      </c>
      <c r="F139">
        <f t="shared" si="4"/>
        <v>1.2259266799929947E-4</v>
      </c>
    </row>
    <row r="140" spans="1:6" x14ac:dyDescent="0.25">
      <c r="A140" s="34">
        <v>2.8835839999999999</v>
      </c>
      <c r="B140" s="34">
        <v>1.01234</v>
      </c>
      <c r="E140" s="2">
        <f t="shared" si="5"/>
        <v>1.0123331969036555</v>
      </c>
      <c r="F140">
        <f t="shared" si="4"/>
        <v>6.8030963444876136E-6</v>
      </c>
    </row>
    <row r="141" spans="1:6" x14ac:dyDescent="0.25">
      <c r="A141" s="34">
        <v>3.1457280000000001</v>
      </c>
      <c r="B141" s="34">
        <v>1.0109999999999999</v>
      </c>
      <c r="E141" s="2">
        <f t="shared" si="5"/>
        <v>1.011239105151382</v>
      </c>
      <c r="F141">
        <f t="shared" si="4"/>
        <v>-2.3910515138214627E-4</v>
      </c>
    </row>
    <row r="142" spans="1:6" x14ac:dyDescent="0.25">
      <c r="A142" s="34">
        <v>3.4078719999999998</v>
      </c>
      <c r="B142" s="34">
        <v>1.0096000000000001</v>
      </c>
      <c r="E142" s="2">
        <f t="shared" si="5"/>
        <v>1.0103089165351169</v>
      </c>
      <c r="F142">
        <f t="shared" si="4"/>
        <v>-7.089165351168436E-4</v>
      </c>
    </row>
    <row r="143" spans="1:6" x14ac:dyDescent="0.25">
      <c r="A143" s="34">
        <v>3.6700159999999999</v>
      </c>
      <c r="B143" s="34">
        <v>1.0090699999999999</v>
      </c>
      <c r="E143" s="2">
        <f t="shared" si="5"/>
        <v>1.0095089933154289</v>
      </c>
      <c r="F143">
        <f t="shared" si="4"/>
        <v>-4.3899331542895936E-4</v>
      </c>
    </row>
    <row r="144" spans="1:6" x14ac:dyDescent="0.25">
      <c r="A144" s="34">
        <v>3.9321600000000001</v>
      </c>
      <c r="B144" s="34">
        <v>1.00857</v>
      </c>
      <c r="E144" s="2">
        <f t="shared" si="5"/>
        <v>1.0088142734832148</v>
      </c>
      <c r="F144">
        <f t="shared" si="4"/>
        <v>-2.4427348321487408E-4</v>
      </c>
    </row>
    <row r="145" spans="1:6" x14ac:dyDescent="0.25">
      <c r="A145" s="34">
        <v>4.1943039999999998</v>
      </c>
      <c r="B145" s="34">
        <v>1.0080499999999999</v>
      </c>
      <c r="E145" s="2">
        <f t="shared" si="5"/>
        <v>1.0082057049028657</v>
      </c>
      <c r="F145">
        <f t="shared" si="4"/>
        <v>-1.5570490286576089E-4</v>
      </c>
    </row>
    <row r="146" spans="1:6" x14ac:dyDescent="0.25">
      <c r="A146" s="34">
        <v>4.7185920000000001</v>
      </c>
      <c r="B146" s="34">
        <v>1.00705</v>
      </c>
      <c r="E146" s="2">
        <f t="shared" si="5"/>
        <v>1.007191224520217</v>
      </c>
      <c r="F146">
        <f t="shared" si="4"/>
        <v>-1.4122452021703147E-4</v>
      </c>
    </row>
    <row r="147" spans="1:6" x14ac:dyDescent="0.25">
      <c r="A147" s="34">
        <v>5.2428800000000004</v>
      </c>
      <c r="B147" s="34">
        <v>1.0061899999999999</v>
      </c>
      <c r="E147" s="2">
        <f t="shared" si="5"/>
        <v>1.0063809774258743</v>
      </c>
      <c r="F147">
        <f t="shared" si="4"/>
        <v>-1.9097742587437239E-4</v>
      </c>
    </row>
    <row r="148" spans="1:6" x14ac:dyDescent="0.25">
      <c r="A148" s="34">
        <v>5.7671679999999999</v>
      </c>
      <c r="B148" s="34">
        <v>1.00563</v>
      </c>
      <c r="E148" s="2">
        <f t="shared" si="5"/>
        <v>1.00572028477861</v>
      </c>
      <c r="F148">
        <f t="shared" si="4"/>
        <v>-9.0284778609950322E-5</v>
      </c>
    </row>
    <row r="149" spans="1:6" x14ac:dyDescent="0.25">
      <c r="A149" s="34">
        <v>6.2914560000000002</v>
      </c>
      <c r="B149" s="34">
        <v>1.0051399999999999</v>
      </c>
      <c r="E149" s="2">
        <f t="shared" si="5"/>
        <v>1.0051722523155675</v>
      </c>
      <c r="F149">
        <f t="shared" si="4"/>
        <v>-3.2252315567582457E-5</v>
      </c>
    </row>
    <row r="150" spans="1:6" x14ac:dyDescent="0.25">
      <c r="A150" s="34">
        <v>6.8157439999999996</v>
      </c>
      <c r="B150" s="34">
        <v>1.0042199999999999</v>
      </c>
      <c r="E150" s="2">
        <f t="shared" si="5"/>
        <v>1.0047111012630761</v>
      </c>
      <c r="F150">
        <f t="shared" si="4"/>
        <v>-4.9110126307616575E-4</v>
      </c>
    </row>
    <row r="151" spans="1:6" x14ac:dyDescent="0.25">
      <c r="A151" s="34">
        <v>7.3400319999999999</v>
      </c>
      <c r="B151" s="34">
        <v>1.00383</v>
      </c>
      <c r="E151" s="2">
        <f t="shared" si="5"/>
        <v>1.0043182880356927</v>
      </c>
      <c r="F151">
        <f t="shared" si="4"/>
        <v>-4.8828803569267443E-4</v>
      </c>
    </row>
    <row r="152" spans="1:6" x14ac:dyDescent="0.25">
      <c r="A152" s="34">
        <v>7.8643200000000002</v>
      </c>
      <c r="B152" s="34">
        <v>1.00356</v>
      </c>
      <c r="E152" s="2">
        <f t="shared" si="5"/>
        <v>1.0039801413673177</v>
      </c>
      <c r="F152">
        <f t="shared" si="4"/>
        <v>-4.2014136731771679E-4</v>
      </c>
    </row>
    <row r="153" spans="1:6" x14ac:dyDescent="0.25">
      <c r="A153" s="34">
        <v>8.3886079999999996</v>
      </c>
      <c r="B153" s="34">
        <v>1.00366</v>
      </c>
      <c r="E153" s="2">
        <f t="shared" si="5"/>
        <v>1.0036863672881362</v>
      </c>
      <c r="F153">
        <f t="shared" si="4"/>
        <v>-2.63672881362087E-5</v>
      </c>
    </row>
    <row r="154" spans="1:6" x14ac:dyDescent="0.25">
      <c r="A154" s="34">
        <v>9.4371840000000002</v>
      </c>
      <c r="B154" s="34">
        <v>1.0034000000000001</v>
      </c>
      <c r="E154" s="2">
        <f t="shared" si="5"/>
        <v>1.0032021035160856</v>
      </c>
      <c r="F154">
        <f t="shared" si="4"/>
        <v>1.9789648391443926E-4</v>
      </c>
    </row>
    <row r="155" spans="1:6" x14ac:dyDescent="0.25">
      <c r="A155" s="34">
        <v>10.485760000000001</v>
      </c>
      <c r="B155" s="34">
        <v>1.0025200000000001</v>
      </c>
      <c r="E155" s="2">
        <f t="shared" si="5"/>
        <v>1.0028206732044185</v>
      </c>
      <c r="F155">
        <f t="shared" si="4"/>
        <v>-3.0067320441840018E-4</v>
      </c>
    </row>
    <row r="156" spans="1:6" x14ac:dyDescent="0.25">
      <c r="A156" s="34">
        <v>11.534336</v>
      </c>
      <c r="B156" s="34">
        <v>1.0023899999999999</v>
      </c>
      <c r="E156" s="2">
        <f t="shared" si="5"/>
        <v>1.0025135192770713</v>
      </c>
      <c r="F156">
        <f t="shared" si="4"/>
        <v>-1.2351927707143773E-4</v>
      </c>
    </row>
    <row r="157" spans="1:6" x14ac:dyDescent="0.25">
      <c r="A157" s="34">
        <v>12.582912</v>
      </c>
      <c r="B157" s="34">
        <v>1.00223</v>
      </c>
      <c r="E157" s="2">
        <f t="shared" si="5"/>
        <v>1.0022616242512894</v>
      </c>
      <c r="F157">
        <f t="shared" si="4"/>
        <v>-3.1624251289441574E-5</v>
      </c>
    </row>
    <row r="158" spans="1:6" x14ac:dyDescent="0.25">
      <c r="A158" s="34">
        <v>13.631487999999999</v>
      </c>
      <c r="B158" s="34">
        <v>1.0019499999999999</v>
      </c>
      <c r="E158" s="2">
        <f t="shared" si="5"/>
        <v>1.0020518580777704</v>
      </c>
      <c r="F158">
        <f t="shared" si="4"/>
        <v>-1.0185807777052247E-4</v>
      </c>
    </row>
    <row r="159" spans="1:6" x14ac:dyDescent="0.25">
      <c r="A159" s="34">
        <v>14.680064</v>
      </c>
      <c r="B159" s="34">
        <v>1.00142</v>
      </c>
      <c r="E159" s="2">
        <f t="shared" si="5"/>
        <v>1.001874879320918</v>
      </c>
      <c r="F159">
        <f t="shared" si="4"/>
        <v>-4.5487932091803351E-4</v>
      </c>
    </row>
    <row r="160" spans="1:6" x14ac:dyDescent="0.25">
      <c r="A160" s="34">
        <v>15.72864</v>
      </c>
      <c r="B160" s="34">
        <v>1.0016499999999999</v>
      </c>
      <c r="E160" s="2">
        <f t="shared" si="5"/>
        <v>1.0017238711999117</v>
      </c>
      <c r="F160">
        <f t="shared" si="4"/>
        <v>-7.3871199911756946E-5</v>
      </c>
    </row>
    <row r="161" spans="1:6" x14ac:dyDescent="0.25">
      <c r="A161" s="34">
        <v>16.777215999999999</v>
      </c>
      <c r="B161" s="34">
        <v>1.0015400000000001</v>
      </c>
      <c r="E161" s="2">
        <f t="shared" si="5"/>
        <v>1.0015937499140122</v>
      </c>
      <c r="F161">
        <f t="shared" si="4"/>
        <v>-5.3749914012080069E-5</v>
      </c>
    </row>
    <row r="162" spans="1:6" x14ac:dyDescent="0.25">
      <c r="A162" s="34">
        <v>18.874368</v>
      </c>
      <c r="B162" s="34">
        <v>1.00169</v>
      </c>
      <c r="E162" s="2">
        <f t="shared" si="5"/>
        <v>1.0013815921308857</v>
      </c>
      <c r="F162">
        <f t="shared" si="4"/>
        <v>3.0840786911423557E-4</v>
      </c>
    </row>
    <row r="163" spans="1:6" x14ac:dyDescent="0.25">
      <c r="A163" s="34">
        <v>20.971520000000002</v>
      </c>
      <c r="B163" s="34">
        <v>1.00176</v>
      </c>
      <c r="E163" s="2">
        <f t="shared" si="5"/>
        <v>1.0012167077921059</v>
      </c>
      <c r="F163">
        <f t="shared" si="4"/>
        <v>5.4329220789406385E-4</v>
      </c>
    </row>
    <row r="164" spans="1:6" x14ac:dyDescent="0.25">
      <c r="A164" s="34">
        <v>23.068671999999999</v>
      </c>
      <c r="B164" s="34">
        <v>1.0013799999999999</v>
      </c>
      <c r="E164" s="2">
        <f t="shared" si="5"/>
        <v>1.0010854873865942</v>
      </c>
      <c r="F164">
        <f t="shared" si="4"/>
        <v>2.9451261340573964E-4</v>
      </c>
    </row>
    <row r="165" spans="1:6" x14ac:dyDescent="0.25">
      <c r="A165" s="34">
        <v>25.165824000000001</v>
      </c>
      <c r="B165" s="34">
        <v>1.00115</v>
      </c>
      <c r="E165" s="2">
        <f t="shared" si="5"/>
        <v>1.0009789947722212</v>
      </c>
      <c r="F165">
        <f t="shared" si="4"/>
        <v>1.7100522777879767E-4</v>
      </c>
    </row>
    <row r="166" spans="1:6" x14ac:dyDescent="0.25">
      <c r="A166" s="34">
        <v>27.262975999999998</v>
      </c>
      <c r="B166" s="34">
        <v>1.00092</v>
      </c>
      <c r="E166" s="2">
        <f t="shared" si="5"/>
        <v>1.0008911389792223</v>
      </c>
      <c r="F166">
        <f t="shared" si="4"/>
        <v>2.8861020777704027E-5</v>
      </c>
    </row>
    <row r="167" spans="1:6" x14ac:dyDescent="0.25">
      <c r="A167" s="34">
        <v>29.360128</v>
      </c>
      <c r="B167" s="34">
        <v>1.0004599999999999</v>
      </c>
      <c r="E167" s="2">
        <f t="shared" si="5"/>
        <v>1.0008176371425679</v>
      </c>
      <c r="F167">
        <f t="shared" si="4"/>
        <v>-3.5763714256797918E-4</v>
      </c>
    </row>
    <row r="168" spans="1:6" x14ac:dyDescent="0.25">
      <c r="A168" s="34">
        <v>31.457280000000001</v>
      </c>
      <c r="B168" s="34">
        <v>1.0006699999999999</v>
      </c>
      <c r="E168" s="2">
        <f t="shared" si="5"/>
        <v>1.0007553974201904</v>
      </c>
      <c r="F168">
        <f t="shared" si="4"/>
        <v>-8.5397420190425066E-5</v>
      </c>
    </row>
    <row r="169" spans="1:6" x14ac:dyDescent="0.25">
      <c r="A169" s="34">
        <v>33.554431999999998</v>
      </c>
      <c r="B169" s="34">
        <v>1.00081</v>
      </c>
      <c r="E169" s="2">
        <f t="shared" si="5"/>
        <v>1.0007021367888445</v>
      </c>
      <c r="F169">
        <f t="shared" si="4"/>
        <v>1.0786321115552333E-4</v>
      </c>
    </row>
    <row r="170" spans="1:6" x14ac:dyDescent="0.25">
      <c r="A170" s="34">
        <v>37.748736000000001</v>
      </c>
      <c r="B170" s="34">
        <v>1.0010399999999999</v>
      </c>
      <c r="E170" s="2">
        <f t="shared" si="5"/>
        <v>1.0006160783160354</v>
      </c>
      <c r="F170">
        <f t="shared" si="4"/>
        <v>4.2392168396454544E-4</v>
      </c>
    </row>
    <row r="171" spans="1:6" x14ac:dyDescent="0.25">
      <c r="A171" s="34">
        <v>41.943040000000003</v>
      </c>
      <c r="B171" s="34">
        <v>1.00118</v>
      </c>
      <c r="E171" s="2">
        <f t="shared" si="5"/>
        <v>1.0005499109471632</v>
      </c>
      <c r="F171">
        <f t="shared" si="4"/>
        <v>6.3008905283679084E-4</v>
      </c>
    </row>
    <row r="172" spans="1:6" x14ac:dyDescent="0.25">
      <c r="A172" s="34">
        <v>46.137343999999999</v>
      </c>
      <c r="B172" s="34">
        <v>1.0003599999999999</v>
      </c>
      <c r="E172" s="2">
        <f t="shared" si="5"/>
        <v>1.0004977343407475</v>
      </c>
      <c r="F172">
        <f t="shared" si="4"/>
        <v>-1.3773434074759727E-4</v>
      </c>
    </row>
    <row r="173" spans="1:6" x14ac:dyDescent="0.25">
      <c r="A173" s="34">
        <v>50.331648000000001</v>
      </c>
      <c r="B173" s="34">
        <v>1.00021</v>
      </c>
      <c r="E173" s="2">
        <f t="shared" si="5"/>
        <v>1.0004557250808024</v>
      </c>
      <c r="F173">
        <f t="shared" si="4"/>
        <v>-2.4572508080233924E-4</v>
      </c>
    </row>
    <row r="174" spans="1:6" x14ac:dyDescent="0.25">
      <c r="A174" s="34">
        <v>54.525951999999997</v>
      </c>
      <c r="B174" s="34">
        <v>1.00064</v>
      </c>
      <c r="E174" s="2">
        <f t="shared" si="5"/>
        <v>1.0004213071535846</v>
      </c>
      <c r="F174">
        <f t="shared" si="4"/>
        <v>2.1869284641540254E-4</v>
      </c>
    </row>
    <row r="175" spans="1:6" x14ac:dyDescent="0.25">
      <c r="A175" s="34">
        <v>58.720255999999999</v>
      </c>
      <c r="B175" s="34">
        <v>1.00075</v>
      </c>
      <c r="E175" s="2">
        <f t="shared" si="5"/>
        <v>1.0003926877616478</v>
      </c>
      <c r="F175">
        <f t="shared" si="4"/>
        <v>3.5731223835222536E-4</v>
      </c>
    </row>
    <row r="176" spans="1:6" x14ac:dyDescent="0.25">
      <c r="A176" s="34">
        <v>62.914560000000002</v>
      </c>
      <c r="B176" s="34">
        <v>1.00047</v>
      </c>
      <c r="E176" s="2">
        <f t="shared" si="5"/>
        <v>1.0003685844820642</v>
      </c>
      <c r="F176">
        <f t="shared" si="4"/>
        <v>1.0141551793574344E-4</v>
      </c>
    </row>
    <row r="177" spans="1:6" x14ac:dyDescent="0.25">
      <c r="A177" s="34">
        <v>67.108863999999997</v>
      </c>
      <c r="B177" s="34">
        <v>1.0001599999999999</v>
      </c>
      <c r="E177" s="2">
        <f t="shared" si="5"/>
        <v>1.0003480581330757</v>
      </c>
      <c r="F177">
        <f t="shared" si="4"/>
        <v>-1.8805813307576358E-4</v>
      </c>
    </row>
    <row r="178" spans="1:6" x14ac:dyDescent="0.25">
      <c r="A178" s="34">
        <v>75.497472000000002</v>
      </c>
      <c r="B178" s="34">
        <v>1.0004299999999999</v>
      </c>
      <c r="E178" s="2">
        <f t="shared" si="5"/>
        <v>1.0003150960990126</v>
      </c>
      <c r="F178">
        <f t="shared" si="4"/>
        <v>1.1490390098733982E-4</v>
      </c>
    </row>
    <row r="179" spans="1:6" x14ac:dyDescent="0.25">
      <c r="A179" s="34">
        <v>83.886080000000007</v>
      </c>
      <c r="B179" s="34">
        <v>1.00014</v>
      </c>
      <c r="E179" s="2">
        <f t="shared" si="5"/>
        <v>1.0002899346951062</v>
      </c>
      <c r="F179">
        <f t="shared" si="4"/>
        <v>-1.4993469510615753E-4</v>
      </c>
    </row>
    <row r="180" spans="1:6" x14ac:dyDescent="0.25">
      <c r="A180" s="34">
        <v>92.274687999999998</v>
      </c>
      <c r="B180" s="34">
        <v>0.99992599999999998</v>
      </c>
      <c r="E180" s="2">
        <f t="shared" si="5"/>
        <v>1.0002702124839669</v>
      </c>
      <c r="F180">
        <f t="shared" si="4"/>
        <v>-3.4421248396687698E-4</v>
      </c>
    </row>
    <row r="181" spans="1:6" x14ac:dyDescent="0.25">
      <c r="A181" s="34">
        <v>100.663296</v>
      </c>
      <c r="B181" s="34">
        <v>0.99993600000000005</v>
      </c>
      <c r="E181" s="2">
        <f t="shared" si="5"/>
        <v>1.0002544141027996</v>
      </c>
      <c r="F181">
        <f t="shared" si="4"/>
        <v>-3.1841410279953575E-4</v>
      </c>
    </row>
    <row r="182" spans="1:6" x14ac:dyDescent="0.25">
      <c r="A182" s="34">
        <v>109.05190399999999</v>
      </c>
      <c r="B182" s="34">
        <v>1.0004</v>
      </c>
      <c r="E182" s="2">
        <f t="shared" si="5"/>
        <v>1.0002415270404035</v>
      </c>
      <c r="F182">
        <f t="shared" si="4"/>
        <v>1.5847295959647845E-4</v>
      </c>
    </row>
    <row r="183" spans="1:6" x14ac:dyDescent="0.25">
      <c r="A183" s="34">
        <v>117.440512</v>
      </c>
      <c r="B183" s="34">
        <v>1.00013</v>
      </c>
      <c r="E183" s="2">
        <f t="shared" si="5"/>
        <v>1.0002308516765779</v>
      </c>
      <c r="F183">
        <f t="shared" si="4"/>
        <v>-1.0085167657791771E-4</v>
      </c>
    </row>
    <row r="184" spans="1:6" x14ac:dyDescent="0.25">
      <c r="A184" s="34">
        <v>125.82912</v>
      </c>
      <c r="B184" s="34">
        <v>1.0003200000000001</v>
      </c>
      <c r="E184" s="2">
        <f t="shared" si="5"/>
        <v>1.0002218906868166</v>
      </c>
      <c r="F184">
        <f t="shared" si="4"/>
        <v>9.8109313183547542E-5</v>
      </c>
    </row>
    <row r="185" spans="1:6" x14ac:dyDescent="0.25">
      <c r="A185" s="34">
        <v>134.21772799999999</v>
      </c>
      <c r="B185" s="34">
        <v>1.0001500000000001</v>
      </c>
      <c r="E185" s="2">
        <f t="shared" si="5"/>
        <v>1.0002142818599356</v>
      </c>
      <c r="F185">
        <f t="shared" si="4"/>
        <v>-6.4281859935455543E-5</v>
      </c>
    </row>
    <row r="186" spans="1:6" x14ac:dyDescent="0.25">
      <c r="A186" s="34">
        <v>150.994944</v>
      </c>
      <c r="B186" s="34">
        <v>1.0002800000000001</v>
      </c>
      <c r="E186" s="2">
        <f t="shared" si="5"/>
        <v>1.0002021083510739</v>
      </c>
      <c r="F186">
        <f t="shared" si="4"/>
        <v>7.7891648926131651E-5</v>
      </c>
    </row>
    <row r="187" spans="1:6" x14ac:dyDescent="0.25">
      <c r="A187" s="34">
        <v>167.77216000000001</v>
      </c>
      <c r="B187" s="34">
        <v>1.00023</v>
      </c>
      <c r="E187" s="2">
        <f t="shared" si="5"/>
        <v>1.000192855148035</v>
      </c>
      <c r="F187">
        <f t="shared" si="4"/>
        <v>3.7144851964932002E-5</v>
      </c>
    </row>
    <row r="188" spans="1:6" x14ac:dyDescent="0.25">
      <c r="A188" s="34">
        <v>184.549376</v>
      </c>
      <c r="B188" s="34">
        <v>1.0003</v>
      </c>
      <c r="E188" s="2">
        <f t="shared" si="5"/>
        <v>1.0001856275101015</v>
      </c>
      <c r="F188">
        <f t="shared" si="4"/>
        <v>1.1437248989842885E-4</v>
      </c>
    </row>
    <row r="189" spans="1:6" x14ac:dyDescent="0.25">
      <c r="A189" s="34">
        <v>201.32659200000001</v>
      </c>
      <c r="B189" s="34">
        <v>1.0001599999999999</v>
      </c>
      <c r="E189" s="2">
        <f t="shared" si="5"/>
        <v>1.0001798547371905</v>
      </c>
      <c r="F189">
        <f t="shared" si="4"/>
        <v>-1.985473719057218E-5</v>
      </c>
    </row>
    <row r="190" spans="1:6" x14ac:dyDescent="0.25">
      <c r="A190" s="34">
        <v>218.10380799999999</v>
      </c>
      <c r="B190" s="34">
        <v>1.00068</v>
      </c>
      <c r="E190" s="2">
        <f t="shared" si="5"/>
        <v>1.0001751574369975</v>
      </c>
      <c r="F190">
        <f t="shared" si="4"/>
        <v>5.0484256300253882E-4</v>
      </c>
    </row>
    <row r="191" spans="1:6" x14ac:dyDescent="0.25">
      <c r="A191" s="34">
        <v>234.881024</v>
      </c>
      <c r="B191" s="34">
        <v>1.0002599999999999</v>
      </c>
      <c r="E191" s="2">
        <f t="shared" si="5"/>
        <v>1.000171274586811</v>
      </c>
      <c r="F191">
        <f t="shared" si="4"/>
        <v>8.8725413188939228E-5</v>
      </c>
    </row>
    <row r="192" spans="1:6" x14ac:dyDescent="0.25">
      <c r="A192" s="34">
        <v>251.65824000000001</v>
      </c>
      <c r="B192" s="34">
        <v>1.0005900000000001</v>
      </c>
      <c r="E192" s="2">
        <f t="shared" si="5"/>
        <v>1.0001680213263695</v>
      </c>
      <c r="F192">
        <f t="shared" si="4"/>
        <v>4.2197867363058528E-4</v>
      </c>
    </row>
    <row r="193" spans="1:6" x14ac:dyDescent="0.25">
      <c r="A193" s="34">
        <v>268.43545599999999</v>
      </c>
      <c r="B193" s="34">
        <v>1.00027</v>
      </c>
      <c r="E193" s="2">
        <f t="shared" si="5"/>
        <v>1.0001652634525375</v>
      </c>
      <c r="F193">
        <f t="shared" si="4"/>
        <v>1.0473654746245842E-4</v>
      </c>
    </row>
    <row r="194" spans="1:6" x14ac:dyDescent="0.25">
      <c r="A194" s="34">
        <v>301.98988800000001</v>
      </c>
      <c r="B194" s="34">
        <v>1.0004500000000001</v>
      </c>
      <c r="E194" s="2">
        <f t="shared" si="5"/>
        <v>1.0001608600321725</v>
      </c>
      <c r="F194">
        <f t="shared" ref="F194:F238" si="6">B194-E194</f>
        <v>2.8913996782753415E-4</v>
      </c>
    </row>
    <row r="195" spans="1:6" x14ac:dyDescent="0.25">
      <c r="A195" s="34">
        <v>335.54432000000003</v>
      </c>
      <c r="B195" s="34">
        <v>1.0001199999999999</v>
      </c>
      <c r="E195" s="2">
        <f t="shared" ref="E195:E238" si="7">$D$2+1/$D$3*($D$8/(1+A195/$D$4)/SQRT(1+A195/$D$4/$D$5/$D$5)+(1-$D$8)/(1+A195/$D$6)/SQRT(1+A195/$D$6/$D$7/$D$7))*(1+$D$9*EXP(-A195/$D$10)+$D$11*EXP(-A195/$D$12))</f>
        <v>1.0001575206990012</v>
      </c>
      <c r="F195">
        <f t="shared" si="6"/>
        <v>-3.7520699001314384E-5</v>
      </c>
    </row>
    <row r="196" spans="1:6" x14ac:dyDescent="0.25">
      <c r="A196" s="34">
        <v>369.09875199999999</v>
      </c>
      <c r="B196" s="34">
        <v>1.0002</v>
      </c>
      <c r="E196" s="2">
        <f t="shared" si="7"/>
        <v>1.0001549172844526</v>
      </c>
      <c r="F196">
        <f t="shared" si="6"/>
        <v>4.5082715547373198E-5</v>
      </c>
    </row>
    <row r="197" spans="1:6" x14ac:dyDescent="0.25">
      <c r="A197" s="34">
        <v>402.65318400000001</v>
      </c>
      <c r="B197" s="34">
        <v>1.0001500000000001</v>
      </c>
      <c r="E197" s="2">
        <f t="shared" si="7"/>
        <v>1.0001528411790648</v>
      </c>
      <c r="F197">
        <f t="shared" si="6"/>
        <v>-2.8411790646831747E-6</v>
      </c>
    </row>
    <row r="198" spans="1:6" x14ac:dyDescent="0.25">
      <c r="A198" s="34">
        <v>436.20761599999997</v>
      </c>
      <c r="B198" s="34">
        <v>1.0002599999999999</v>
      </c>
      <c r="E198" s="2">
        <f t="shared" si="7"/>
        <v>1.000151154092205</v>
      </c>
      <c r="F198">
        <f t="shared" si="6"/>
        <v>1.0884590779491887E-4</v>
      </c>
    </row>
    <row r="199" spans="1:6" x14ac:dyDescent="0.25">
      <c r="A199" s="34">
        <v>469.76204799999999</v>
      </c>
      <c r="B199" s="34">
        <v>1.0000599999999999</v>
      </c>
      <c r="E199" s="2">
        <f t="shared" si="7"/>
        <v>1.0001497611049928</v>
      </c>
      <c r="F199">
        <f t="shared" si="6"/>
        <v>-8.9761104992813756E-5</v>
      </c>
    </row>
    <row r="200" spans="1:6" x14ac:dyDescent="0.25">
      <c r="A200" s="34">
        <v>503.31648000000001</v>
      </c>
      <c r="B200" s="34">
        <v>0.99992499999999995</v>
      </c>
      <c r="E200" s="2">
        <f t="shared" si="7"/>
        <v>1.0001485951305471</v>
      </c>
      <c r="F200">
        <f t="shared" si="6"/>
        <v>-2.2359513054714952E-4</v>
      </c>
    </row>
    <row r="201" spans="1:6" x14ac:dyDescent="0.25">
      <c r="A201" s="34">
        <v>536.87091199999998</v>
      </c>
      <c r="B201" s="34">
        <v>0.99979399999999996</v>
      </c>
      <c r="E201" s="2">
        <f t="shared" si="7"/>
        <v>1.0001476075510474</v>
      </c>
      <c r="F201">
        <f t="shared" si="6"/>
        <v>-3.5360755104740793E-4</v>
      </c>
    </row>
    <row r="202" spans="1:6" x14ac:dyDescent="0.25">
      <c r="A202" s="34">
        <v>603.97977600000002</v>
      </c>
      <c r="B202" s="34">
        <v>0.99999400000000005</v>
      </c>
      <c r="E202" s="2">
        <f t="shared" si="7"/>
        <v>1.0001460323922995</v>
      </c>
      <c r="F202">
        <f t="shared" si="6"/>
        <v>-1.5203239229943932E-4</v>
      </c>
    </row>
    <row r="203" spans="1:6" x14ac:dyDescent="0.25">
      <c r="A203" s="34">
        <v>671.08864000000005</v>
      </c>
      <c r="B203" s="34">
        <v>0.99982199999999999</v>
      </c>
      <c r="E203" s="2">
        <f t="shared" si="7"/>
        <v>1.0001448393185861</v>
      </c>
      <c r="F203">
        <f t="shared" si="6"/>
        <v>-3.2283931858612114E-4</v>
      </c>
    </row>
    <row r="204" spans="1:6" x14ac:dyDescent="0.25">
      <c r="A204" s="34">
        <v>738.19750399999998</v>
      </c>
      <c r="B204" s="34">
        <v>1.0000800000000001</v>
      </c>
      <c r="E204" s="2">
        <f t="shared" si="7"/>
        <v>1.0001439100881873</v>
      </c>
      <c r="F204">
        <f t="shared" si="6"/>
        <v>-6.3910088187180136E-5</v>
      </c>
    </row>
    <row r="205" spans="1:6" x14ac:dyDescent="0.25">
      <c r="A205" s="34">
        <v>805.30636800000002</v>
      </c>
      <c r="B205" s="34">
        <v>0.99997100000000005</v>
      </c>
      <c r="E205" s="2">
        <f t="shared" si="7"/>
        <v>1.0001431696725724</v>
      </c>
      <c r="F205">
        <f t="shared" si="6"/>
        <v>-1.7216967257238647E-4</v>
      </c>
    </row>
    <row r="206" spans="1:6" x14ac:dyDescent="0.25">
      <c r="A206" s="34">
        <v>872.41523199999995</v>
      </c>
      <c r="B206" s="34">
        <v>1.00007</v>
      </c>
      <c r="E206" s="2">
        <f t="shared" si="7"/>
        <v>1.0001425684078278</v>
      </c>
      <c r="F206">
        <f t="shared" si="6"/>
        <v>-7.2568407827766634E-5</v>
      </c>
    </row>
    <row r="207" spans="1:6" x14ac:dyDescent="0.25">
      <c r="A207" s="34">
        <v>939.52409599999999</v>
      </c>
      <c r="B207" s="34">
        <v>1.0000899999999999</v>
      </c>
      <c r="E207" s="2">
        <f t="shared" si="7"/>
        <v>1.0001420722484198</v>
      </c>
      <c r="F207">
        <f t="shared" si="6"/>
        <v>-5.2072248419854361E-5</v>
      </c>
    </row>
    <row r="208" spans="1:6" x14ac:dyDescent="0.25">
      <c r="A208" s="34">
        <v>1006.63296</v>
      </c>
      <c r="B208" s="34">
        <v>1.0000899999999999</v>
      </c>
      <c r="E208" s="2">
        <f t="shared" si="7"/>
        <v>1.0001416571570969</v>
      </c>
      <c r="F208">
        <f t="shared" si="6"/>
        <v>-5.1657157096984818E-5</v>
      </c>
    </row>
    <row r="209" spans="1:6" x14ac:dyDescent="0.25">
      <c r="A209" s="34">
        <v>1073.741824</v>
      </c>
      <c r="B209" s="34">
        <v>1.0003200000000001</v>
      </c>
      <c r="E209" s="2">
        <f t="shared" si="7"/>
        <v>1.0001413057299862</v>
      </c>
      <c r="F209">
        <f t="shared" si="6"/>
        <v>1.786942700139349E-4</v>
      </c>
    </row>
    <row r="210" spans="1:6" x14ac:dyDescent="0.25">
      <c r="A210" s="34">
        <v>1207.959552</v>
      </c>
      <c r="B210" s="34">
        <v>1.0003200000000001</v>
      </c>
      <c r="E210" s="2">
        <f t="shared" si="7"/>
        <v>1.0001407455212452</v>
      </c>
      <c r="F210">
        <f t="shared" si="6"/>
        <v>1.7925447875488665E-4</v>
      </c>
    </row>
    <row r="211" spans="1:6" x14ac:dyDescent="0.25">
      <c r="A211" s="34">
        <v>1342.1772800000001</v>
      </c>
      <c r="B211" s="34">
        <v>1.0001800000000001</v>
      </c>
      <c r="E211" s="2">
        <f t="shared" si="7"/>
        <v>1.0001403214650906</v>
      </c>
      <c r="F211">
        <f t="shared" si="6"/>
        <v>3.9678534909493024E-5</v>
      </c>
    </row>
    <row r="212" spans="1:6" x14ac:dyDescent="0.25">
      <c r="A212" s="34">
        <v>1476.395008</v>
      </c>
      <c r="B212" s="34">
        <v>1.0002800000000001</v>
      </c>
      <c r="E212" s="2">
        <f t="shared" si="7"/>
        <v>1.0001399913530917</v>
      </c>
      <c r="F212">
        <f t="shared" si="6"/>
        <v>1.4000864690832948E-4</v>
      </c>
    </row>
    <row r="213" spans="1:6" x14ac:dyDescent="0.25">
      <c r="A213" s="34">
        <v>1610.612736</v>
      </c>
      <c r="B213" s="34">
        <v>1.00024</v>
      </c>
      <c r="E213" s="2">
        <f t="shared" si="7"/>
        <v>1.0001397284273217</v>
      </c>
      <c r="F213">
        <f t="shared" si="6"/>
        <v>1.0027157267833431E-4</v>
      </c>
    </row>
    <row r="214" spans="1:6" x14ac:dyDescent="0.25">
      <c r="A214" s="34">
        <v>1744.8304639999999</v>
      </c>
      <c r="B214" s="34">
        <v>1.0002200000000001</v>
      </c>
      <c r="E214" s="2">
        <f t="shared" si="7"/>
        <v>1.000139514989296</v>
      </c>
      <c r="F214">
        <f t="shared" si="6"/>
        <v>8.0485010704123283E-5</v>
      </c>
    </row>
    <row r="215" spans="1:6" x14ac:dyDescent="0.25">
      <c r="A215" s="34">
        <v>1879.048192</v>
      </c>
      <c r="B215" s="34">
        <v>1.0002899999999999</v>
      </c>
      <c r="E215" s="2">
        <f t="shared" si="7"/>
        <v>1.0001393389141133</v>
      </c>
      <c r="F215">
        <f t="shared" si="6"/>
        <v>1.5066108588657201E-4</v>
      </c>
    </row>
    <row r="216" spans="1:6" x14ac:dyDescent="0.25">
      <c r="A216" s="34">
        <v>2013.2659200000001</v>
      </c>
      <c r="B216" s="34">
        <v>1.0002500000000001</v>
      </c>
      <c r="E216" s="2">
        <f t="shared" si="7"/>
        <v>1.0001391916458391</v>
      </c>
      <c r="F216">
        <f t="shared" si="6"/>
        <v>1.108083541609961E-4</v>
      </c>
    </row>
    <row r="217" spans="1:6" x14ac:dyDescent="0.25">
      <c r="A217" s="34">
        <v>2147.4836479999999</v>
      </c>
      <c r="B217" s="34">
        <v>1.0004200000000001</v>
      </c>
      <c r="E217" s="2">
        <f t="shared" si="7"/>
        <v>1.0001390669925447</v>
      </c>
      <c r="F217">
        <f t="shared" si="6"/>
        <v>2.8093300745535288E-4</v>
      </c>
    </row>
    <row r="218" spans="1:6" x14ac:dyDescent="0.25">
      <c r="A218" s="34">
        <v>2415.9191040000001</v>
      </c>
      <c r="B218" s="34">
        <v>1.0001599999999999</v>
      </c>
      <c r="E218" s="2">
        <f t="shared" si="7"/>
        <v>1.0001388683382129</v>
      </c>
      <c r="F218">
        <f t="shared" si="6"/>
        <v>2.1131661787077149E-5</v>
      </c>
    </row>
    <row r="219" spans="1:6" x14ac:dyDescent="0.25">
      <c r="A219" s="34">
        <v>2684.3545600000002</v>
      </c>
      <c r="B219" s="34">
        <v>0.99998500000000001</v>
      </c>
      <c r="E219" s="2">
        <f t="shared" si="7"/>
        <v>1.0001387180118224</v>
      </c>
      <c r="F219">
        <f t="shared" si="6"/>
        <v>-1.537180118224013E-4</v>
      </c>
    </row>
    <row r="220" spans="1:6" x14ac:dyDescent="0.25">
      <c r="A220" s="34">
        <v>2952.7900159999999</v>
      </c>
      <c r="B220" s="34">
        <v>1.0000599999999999</v>
      </c>
      <c r="E220" s="2">
        <f t="shared" si="7"/>
        <v>1.0001386010180007</v>
      </c>
      <c r="F220">
        <f t="shared" si="6"/>
        <v>-7.8601018000723499E-5</v>
      </c>
    </row>
    <row r="221" spans="1:6" x14ac:dyDescent="0.25">
      <c r="A221" s="34">
        <v>3221.2254720000001</v>
      </c>
      <c r="B221" s="34">
        <v>1.0001100000000001</v>
      </c>
      <c r="E221" s="2">
        <f t="shared" si="7"/>
        <v>1.0001385078549381</v>
      </c>
      <c r="F221">
        <f t="shared" si="6"/>
        <v>-2.8507854938020216E-5</v>
      </c>
    </row>
    <row r="222" spans="1:6" x14ac:dyDescent="0.25">
      <c r="A222" s="34">
        <v>3489.6609279999998</v>
      </c>
      <c r="B222" s="34">
        <v>1.00004</v>
      </c>
      <c r="E222" s="2">
        <f t="shared" si="7"/>
        <v>1.0001384322402838</v>
      </c>
      <c r="F222">
        <f t="shared" si="6"/>
        <v>-9.8432240283718997E-5</v>
      </c>
    </row>
    <row r="223" spans="1:6" x14ac:dyDescent="0.25">
      <c r="A223" s="34">
        <v>3758.0963839999999</v>
      </c>
      <c r="B223" s="34">
        <v>0.99983900000000003</v>
      </c>
      <c r="E223" s="2">
        <f t="shared" si="7"/>
        <v>1.0001383698715056</v>
      </c>
      <c r="F223">
        <f t="shared" si="6"/>
        <v>-2.993698715055837E-4</v>
      </c>
    </row>
    <row r="224" spans="1:6" x14ac:dyDescent="0.25">
      <c r="A224" s="34">
        <v>4026.5318400000001</v>
      </c>
      <c r="B224" s="34">
        <v>1.0000899999999999</v>
      </c>
      <c r="E224" s="2">
        <f t="shared" si="7"/>
        <v>1.0001383177133552</v>
      </c>
      <c r="F224">
        <f t="shared" si="6"/>
        <v>-4.8317713355228165E-5</v>
      </c>
    </row>
    <row r="225" spans="1:6" x14ac:dyDescent="0.25">
      <c r="A225" s="34">
        <v>4294.9672959999998</v>
      </c>
      <c r="B225" s="34">
        <v>0.99962300000000004</v>
      </c>
      <c r="E225" s="2">
        <f t="shared" si="7"/>
        <v>1.0001382735697413</v>
      </c>
      <c r="F225">
        <f t="shared" si="6"/>
        <v>-5.1527356974123695E-4</v>
      </c>
    </row>
    <row r="226" spans="1:6" x14ac:dyDescent="0.25">
      <c r="A226" s="34">
        <v>4831.8382080000001</v>
      </c>
      <c r="B226" s="34">
        <v>0.99915900000000002</v>
      </c>
      <c r="E226" s="2">
        <f t="shared" si="7"/>
        <v>1.0001382032298631</v>
      </c>
      <c r="F226">
        <f t="shared" si="6"/>
        <v>-9.7920322986311259E-4</v>
      </c>
    </row>
    <row r="227" spans="1:6" x14ac:dyDescent="0.25">
      <c r="A227" s="34">
        <v>5368.7091200000004</v>
      </c>
      <c r="B227" s="34">
        <v>0.99884799999999996</v>
      </c>
      <c r="E227" s="2">
        <f t="shared" si="7"/>
        <v>1.0001381500104292</v>
      </c>
      <c r="F227">
        <f t="shared" si="6"/>
        <v>-1.290150010429203E-3</v>
      </c>
    </row>
    <row r="228" spans="1:6" x14ac:dyDescent="0.25">
      <c r="A228" s="34">
        <v>5905.5800319999998</v>
      </c>
      <c r="B228" s="34">
        <v>0.99824100000000004</v>
      </c>
      <c r="E228" s="2">
        <f t="shared" si="7"/>
        <v>1.0001381085968715</v>
      </c>
      <c r="F228">
        <f t="shared" si="6"/>
        <v>-1.8971085968714219E-3</v>
      </c>
    </row>
    <row r="229" spans="1:6" x14ac:dyDescent="0.25">
      <c r="A229" s="34">
        <v>6442.4509440000002</v>
      </c>
      <c r="B229" s="34">
        <v>0.99809700000000001</v>
      </c>
      <c r="E229" s="2">
        <f t="shared" si="7"/>
        <v>1.0001380756224152</v>
      </c>
      <c r="F229">
        <f t="shared" si="6"/>
        <v>-2.0410756224151783E-3</v>
      </c>
    </row>
    <row r="230" spans="1:6" x14ac:dyDescent="0.25">
      <c r="A230" s="34">
        <v>6979.3218559999996</v>
      </c>
      <c r="B230" s="34">
        <v>0.99769200000000002</v>
      </c>
      <c r="E230" s="2">
        <f t="shared" si="7"/>
        <v>1.000138048861468</v>
      </c>
      <c r="F230">
        <f t="shared" si="6"/>
        <v>-2.446048861467931E-3</v>
      </c>
    </row>
    <row r="231" spans="1:6" x14ac:dyDescent="0.25">
      <c r="A231" s="34">
        <v>7516.1927679999999</v>
      </c>
      <c r="B231" s="34">
        <v>0.997417</v>
      </c>
      <c r="E231" s="2">
        <f t="shared" si="7"/>
        <v>1.0001380267900584</v>
      </c>
      <c r="F231">
        <f t="shared" si="6"/>
        <v>-2.7210267900583673E-3</v>
      </c>
    </row>
    <row r="232" spans="1:6" x14ac:dyDescent="0.25">
      <c r="A232" s="34">
        <v>8053.0636800000002</v>
      </c>
      <c r="B232" s="34">
        <v>0.99718700000000005</v>
      </c>
      <c r="E232" s="2">
        <f t="shared" si="7"/>
        <v>1.0001380083332392</v>
      </c>
      <c r="F232">
        <f t="shared" si="6"/>
        <v>-2.9510083332391357E-3</v>
      </c>
    </row>
    <row r="233" spans="1:6" x14ac:dyDescent="0.25">
      <c r="A233" s="34">
        <v>8589.9345919999996</v>
      </c>
      <c r="B233" s="34">
        <v>0.99690999999999996</v>
      </c>
      <c r="E233" s="2">
        <f t="shared" si="7"/>
        <v>1.0001379927133465</v>
      </c>
      <c r="F233">
        <f t="shared" si="6"/>
        <v>-3.2279927133465058E-3</v>
      </c>
    </row>
    <row r="234" spans="1:6" x14ac:dyDescent="0.25">
      <c r="A234" s="34">
        <v>9663.6764160000002</v>
      </c>
      <c r="B234" s="34">
        <v>0.99635499999999999</v>
      </c>
      <c r="E234" s="2">
        <f t="shared" si="7"/>
        <v>1.0001379678258393</v>
      </c>
      <c r="F234">
        <f t="shared" si="6"/>
        <v>-3.7829678258393118E-3</v>
      </c>
    </row>
    <row r="235" spans="1:6" x14ac:dyDescent="0.25">
      <c r="A235" s="34">
        <v>10737.418240000001</v>
      </c>
      <c r="B235" s="34">
        <v>0.99591399999999997</v>
      </c>
      <c r="E235" s="2">
        <f t="shared" si="7"/>
        <v>1.0001379489973417</v>
      </c>
      <c r="F235">
        <f t="shared" si="6"/>
        <v>-4.2239489973416866E-3</v>
      </c>
    </row>
    <row r="236" spans="1:6" x14ac:dyDescent="0.25">
      <c r="A236" s="34">
        <v>11811.160064</v>
      </c>
      <c r="B236" s="34">
        <v>0.99558100000000005</v>
      </c>
      <c r="E236" s="2">
        <f t="shared" si="7"/>
        <v>1.000137934346581</v>
      </c>
      <c r="F236">
        <f t="shared" si="6"/>
        <v>-4.5569343465809986E-3</v>
      </c>
    </row>
    <row r="237" spans="1:6" x14ac:dyDescent="0.25">
      <c r="A237" s="34">
        <v>12884.901888</v>
      </c>
      <c r="B237" s="34">
        <v>0.99539699999999998</v>
      </c>
      <c r="E237" s="2">
        <f t="shared" si="7"/>
        <v>1.0001379226819134</v>
      </c>
      <c r="F237">
        <f t="shared" si="6"/>
        <v>-4.7409226819133954E-3</v>
      </c>
    </row>
    <row r="238" spans="1:6" x14ac:dyDescent="0.25">
      <c r="A238" s="34">
        <v>13958.643711999999</v>
      </c>
      <c r="B238" s="34">
        <v>0.99528300000000003</v>
      </c>
      <c r="E238" s="2">
        <f t="shared" si="7"/>
        <v>1.0001379132156853</v>
      </c>
      <c r="F238">
        <f t="shared" si="6"/>
        <v>-4.8549132156853192E-3</v>
      </c>
    </row>
    <row r="239" spans="1:6" x14ac:dyDescent="0.25">
      <c r="A239" s="34">
        <v>15032.385536</v>
      </c>
      <c r="B239" s="34">
        <v>0.995564</v>
      </c>
    </row>
    <row r="240" spans="1:6" x14ac:dyDescent="0.25">
      <c r="A240" s="34">
        <v>16106.12736</v>
      </c>
      <c r="B240" s="34">
        <v>0.99595299999999998</v>
      </c>
    </row>
    <row r="241" spans="1:2" x14ac:dyDescent="0.25">
      <c r="A241" s="34">
        <v>17179.869183999999</v>
      </c>
      <c r="B241" s="34">
        <v>0.99652099999999999</v>
      </c>
    </row>
    <row r="242" spans="1:2" x14ac:dyDescent="0.25">
      <c r="A242" s="34">
        <v>19327.352832</v>
      </c>
      <c r="B242" s="34">
        <v>0.99650399999999995</v>
      </c>
    </row>
    <row r="243" spans="1:2" x14ac:dyDescent="0.25">
      <c r="A243" s="34">
        <v>21474.836480000002</v>
      </c>
      <c r="B243" s="34">
        <v>0.99723200000000001</v>
      </c>
    </row>
    <row r="244" spans="1:2" x14ac:dyDescent="0.25">
      <c r="A244" s="34">
        <v>23622.320127999999</v>
      </c>
      <c r="B244" s="34">
        <v>0.99746900000000005</v>
      </c>
    </row>
    <row r="245" spans="1:2" x14ac:dyDescent="0.25">
      <c r="A245" s="34">
        <v>25769.803776000001</v>
      </c>
      <c r="B245" s="34">
        <v>0.99819899999999995</v>
      </c>
    </row>
    <row r="246" spans="1:2" x14ac:dyDescent="0.25">
      <c r="A246" s="34">
        <v>27917.287423999998</v>
      </c>
      <c r="B246" s="34">
        <v>0.99878999999999996</v>
      </c>
    </row>
  </sheetData>
  <phoneticPr fontId="0" type="noConversion"/>
  <pageMargins left="0.7" right="0.7" top="0.75" bottom="0.75" header="0.3" footer="0.3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>
      <selection activeCell="G2" sqref="G2"/>
    </sheetView>
  </sheetViews>
  <sheetFormatPr defaultColWidth="9" defaultRowHeight="15" x14ac:dyDescent="0.25"/>
  <cols>
    <col min="1" max="1" width="14.28515625" bestFit="1" customWidth="1"/>
    <col min="2" max="2" width="9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bestFit="1" customWidth="1"/>
  </cols>
  <sheetData>
    <row r="1" spans="1:12" x14ac:dyDescent="0.25">
      <c r="A1" t="s">
        <v>6</v>
      </c>
      <c r="B1" t="s">
        <v>7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35">
        <v>3.9999999999999998E-6</v>
      </c>
      <c r="B2" s="35">
        <v>1.3627800000000001</v>
      </c>
      <c r="C2" s="8" t="s">
        <v>1</v>
      </c>
      <c r="D2" s="9">
        <v>1.0034456792012783</v>
      </c>
      <c r="E2" s="2">
        <f>$D$2+1/$D$3*($D$8/(1+A2/$D$4)/SQRT(1+A2/$D$4/$D$5/$D$5)+(1-$D$8)/(1+A2/$D$6)/SQRT(1+A2/$D$6/$D$7/$D$7))*(1+$D$9*EXP(-A2/$D$10)+$D$11*EXP(-A2/$D$12))</f>
        <v>1.4772278205541591</v>
      </c>
      <c r="F2">
        <f t="shared" ref="F2:F65" si="0">B2-E2</f>
        <v>-0.11444782055415903</v>
      </c>
      <c r="G2">
        <f>SUMSQ(F$3:F$190)</f>
        <v>7.9216442497062282E-3</v>
      </c>
      <c r="H2" s="1"/>
      <c r="I2" s="13" t="s">
        <v>19</v>
      </c>
      <c r="J2" s="16">
        <v>34.96</v>
      </c>
      <c r="L2" s="14">
        <f>(J2+J3)/D3</f>
        <v>31.608187764438661</v>
      </c>
    </row>
    <row r="3" spans="1:12" x14ac:dyDescent="0.25">
      <c r="A3" s="35">
        <v>7.9999999999999996E-6</v>
      </c>
      <c r="B3" s="35">
        <v>1.45004</v>
      </c>
      <c r="C3" s="8" t="s">
        <v>2</v>
      </c>
      <c r="D3" s="9">
        <v>3.4478408193528205</v>
      </c>
      <c r="E3" s="2">
        <f t="shared" ref="E3:E66" si="1">$D$2+1/$D$3*($D$8/(1+A3/$D$4)/SQRT(1+A3/$D$4/$D$5/$D$5)+(1-$D$8)/(1+A3/$D$6)/SQRT(1+A3/$D$6/$D$7/$D$7))*(1+$D$9*EXP(-A3/$D$10)+$D$11*EXP(-A3/$D$12))</f>
        <v>1.4553913886678616</v>
      </c>
      <c r="F3">
        <f t="shared" si="0"/>
        <v>-5.3513886678615563E-3</v>
      </c>
      <c r="H3" s="1"/>
      <c r="I3" s="13" t="s">
        <v>20</v>
      </c>
      <c r="J3" s="16">
        <v>74.02</v>
      </c>
    </row>
    <row r="4" spans="1:12" x14ac:dyDescent="0.25">
      <c r="A4" s="35">
        <v>1.2E-5</v>
      </c>
      <c r="B4" s="35">
        <v>1.4412199999999999</v>
      </c>
      <c r="C4" s="8" t="s">
        <v>26</v>
      </c>
      <c r="D4" s="9">
        <v>0.68635908457194705</v>
      </c>
      <c r="E4" s="2">
        <f t="shared" si="1"/>
        <v>1.4383511133858065</v>
      </c>
      <c r="F4">
        <f t="shared" si="0"/>
        <v>2.8688866141934888E-3</v>
      </c>
      <c r="H4" s="1"/>
      <c r="I4" s="4"/>
    </row>
    <row r="5" spans="1:12" x14ac:dyDescent="0.25">
      <c r="A5" s="35">
        <v>1.5999999999999999E-5</v>
      </c>
      <c r="B5" s="35">
        <v>1.41469</v>
      </c>
      <c r="C5" s="8" t="s">
        <v>22</v>
      </c>
      <c r="D5" s="9">
        <f>('1_Rh110 in buffer'!D5+'2_Rh110 in buffer'!D5)/2</f>
        <v>5.9953640241376469</v>
      </c>
      <c r="E5" s="2">
        <f t="shared" si="1"/>
        <v>1.4250470991929998</v>
      </c>
      <c r="F5">
        <f t="shared" si="0"/>
        <v>-1.0357099192999764E-2</v>
      </c>
      <c r="H5" s="1"/>
      <c r="I5" s="4"/>
    </row>
    <row r="6" spans="1:12" x14ac:dyDescent="0.25">
      <c r="A6" s="35">
        <v>2.0000000000000002E-5</v>
      </c>
      <c r="B6" s="35">
        <v>1.4452400000000001</v>
      </c>
      <c r="C6" s="8" t="s">
        <v>25</v>
      </c>
      <c r="D6" s="9">
        <v>1.38</v>
      </c>
      <c r="E6" s="2">
        <f t="shared" si="1"/>
        <v>1.414653685325284</v>
      </c>
      <c r="F6">
        <f t="shared" si="0"/>
        <v>3.0586314674716064E-2</v>
      </c>
      <c r="H6" s="1"/>
      <c r="I6" s="4"/>
    </row>
    <row r="7" spans="1:12" x14ac:dyDescent="0.25">
      <c r="A7" s="35">
        <v>2.4000000000000001E-5</v>
      </c>
      <c r="B7" s="35">
        <v>1.4190799999999999</v>
      </c>
      <c r="C7" s="8" t="s">
        <v>22</v>
      </c>
      <c r="D7" s="9">
        <f>('1_Rh110 in buffer'!D5+'2_Rh110 in buffer'!D5)/2</f>
        <v>5.9953640241376469</v>
      </c>
      <c r="E7" s="2">
        <f t="shared" si="1"/>
        <v>1.4065276803506697</v>
      </c>
      <c r="F7">
        <f t="shared" si="0"/>
        <v>1.2552319649330235E-2</v>
      </c>
      <c r="H7" s="1"/>
      <c r="I7" s="4"/>
    </row>
    <row r="8" spans="1:12" x14ac:dyDescent="0.25">
      <c r="A8" s="35">
        <v>2.8E-5</v>
      </c>
      <c r="B8" s="35">
        <v>1.38174</v>
      </c>
      <c r="C8" s="8" t="s">
        <v>13</v>
      </c>
      <c r="D8" s="9">
        <v>1</v>
      </c>
      <c r="E8" s="2">
        <f t="shared" si="1"/>
        <v>1.4001680368062825</v>
      </c>
      <c r="F8">
        <f t="shared" si="0"/>
        <v>-1.8428036806282577E-2</v>
      </c>
      <c r="H8" s="1"/>
      <c r="I8" s="4"/>
    </row>
    <row r="9" spans="1:12" x14ac:dyDescent="0.25">
      <c r="A9" s="35">
        <v>3.1999999999999999E-5</v>
      </c>
      <c r="B9" s="35">
        <v>1.38578</v>
      </c>
      <c r="C9" s="8" t="s">
        <v>14</v>
      </c>
      <c r="D9" s="9">
        <v>0.2954247491217224</v>
      </c>
      <c r="E9" s="2">
        <f t="shared" si="1"/>
        <v>1.3951844376611588</v>
      </c>
      <c r="F9">
        <f t="shared" si="0"/>
        <v>-9.4044376611588376E-3</v>
      </c>
      <c r="H9" s="1"/>
      <c r="I9" s="4"/>
    </row>
    <row r="10" spans="1:12" x14ac:dyDescent="0.25">
      <c r="A10" s="35">
        <v>3.6000000000000001E-5</v>
      </c>
      <c r="B10" s="35">
        <v>1.3700600000000001</v>
      </c>
      <c r="C10" s="8" t="s">
        <v>24</v>
      </c>
      <c r="D10" s="9">
        <v>2.5729703745204996E-3</v>
      </c>
      <c r="E10" s="2">
        <f t="shared" si="1"/>
        <v>1.3912728251089153</v>
      </c>
      <c r="F10">
        <f t="shared" si="0"/>
        <v>-2.1212825108915201E-2</v>
      </c>
      <c r="H10" s="1"/>
      <c r="I10" s="4"/>
    </row>
    <row r="11" spans="1:12" x14ac:dyDescent="0.25">
      <c r="A11" s="35">
        <v>4.0000000000000003E-5</v>
      </c>
      <c r="B11" s="35">
        <v>1.3905799999999999</v>
      </c>
      <c r="C11" s="8" t="s">
        <v>15</v>
      </c>
      <c r="D11" s="9">
        <v>0.43461665048206694</v>
      </c>
      <c r="E11" s="2">
        <f t="shared" si="1"/>
        <v>1.3881963374490618</v>
      </c>
      <c r="F11">
        <f t="shared" si="0"/>
        <v>2.3836625509381371E-3</v>
      </c>
      <c r="H11" s="1"/>
      <c r="I11" s="4"/>
    </row>
    <row r="12" spans="1:12" x14ac:dyDescent="0.25">
      <c r="A12" s="35">
        <v>4.3999999999999999E-5</v>
      </c>
      <c r="B12" s="35">
        <v>1.3926000000000001</v>
      </c>
      <c r="C12" s="8" t="s">
        <v>23</v>
      </c>
      <c r="D12" s="15">
        <v>1.6016926915800791E-5</v>
      </c>
      <c r="E12" s="2">
        <f t="shared" si="1"/>
        <v>1.385770458880013</v>
      </c>
      <c r="F12">
        <f t="shared" si="0"/>
        <v>6.8295411199870149E-3</v>
      </c>
      <c r="H12" s="1"/>
      <c r="I12" s="4"/>
    </row>
    <row r="13" spans="1:12" x14ac:dyDescent="0.25">
      <c r="A13" s="35">
        <v>4.8000000000000001E-5</v>
      </c>
      <c r="B13" s="35">
        <v>1.3925799999999999</v>
      </c>
      <c r="E13" s="2">
        <f t="shared" si="1"/>
        <v>1.3838514511586042</v>
      </c>
      <c r="F13">
        <f t="shared" si="0"/>
        <v>8.7285488413957335E-3</v>
      </c>
      <c r="H13" s="1"/>
    </row>
    <row r="14" spans="1:12" x14ac:dyDescent="0.25">
      <c r="A14" s="35">
        <v>5.1999999999999997E-5</v>
      </c>
      <c r="B14" s="35">
        <v>1.3740600000000001</v>
      </c>
      <c r="E14" s="2">
        <f t="shared" si="1"/>
        <v>1.3823273418400819</v>
      </c>
      <c r="F14">
        <f t="shared" si="0"/>
        <v>-8.267341840081821E-3</v>
      </c>
      <c r="H14" s="1"/>
    </row>
    <row r="15" spans="1:12" x14ac:dyDescent="0.25">
      <c r="A15" s="35">
        <v>5.5999999999999999E-5</v>
      </c>
      <c r="B15" s="35">
        <v>1.3885700000000001</v>
      </c>
      <c r="E15" s="2">
        <f t="shared" si="1"/>
        <v>1.3811109040993101</v>
      </c>
      <c r="F15">
        <f t="shared" si="0"/>
        <v>7.4590959006899382E-3</v>
      </c>
      <c r="H15" s="1"/>
    </row>
    <row r="16" spans="1:12" x14ac:dyDescent="0.25">
      <c r="A16" s="35">
        <v>6.0000000000000002E-5</v>
      </c>
      <c r="B16" s="35">
        <v>1.3717299999999999</v>
      </c>
      <c r="E16" s="2">
        <f t="shared" si="1"/>
        <v>1.3801341879976685</v>
      </c>
      <c r="F16">
        <f t="shared" si="0"/>
        <v>-8.4041879976686218E-3</v>
      </c>
      <c r="H16" s="1"/>
    </row>
    <row r="17" spans="1:8" x14ac:dyDescent="0.25">
      <c r="A17" s="35">
        <v>6.3999999999999997E-5</v>
      </c>
      <c r="B17" s="35">
        <v>1.3729</v>
      </c>
      <c r="E17" s="2">
        <f t="shared" si="1"/>
        <v>1.3793442603291999</v>
      </c>
      <c r="F17">
        <f t="shared" si="0"/>
        <v>-6.444260329199869E-3</v>
      </c>
      <c r="H17" s="1"/>
    </row>
    <row r="18" spans="1:8" x14ac:dyDescent="0.25">
      <c r="A18" s="35">
        <v>7.2000000000000002E-5</v>
      </c>
      <c r="B18" s="35">
        <v>1.3855299999999999</v>
      </c>
      <c r="E18" s="2">
        <f t="shared" si="1"/>
        <v>1.3781689425409667</v>
      </c>
      <c r="F18">
        <f t="shared" si="0"/>
        <v>7.36105745903326E-3</v>
      </c>
      <c r="H18" s="1"/>
    </row>
    <row r="19" spans="1:8" x14ac:dyDescent="0.25">
      <c r="A19" s="35">
        <v>8.0000000000000007E-5</v>
      </c>
      <c r="B19" s="35">
        <v>1.3867700000000001</v>
      </c>
      <c r="E19" s="2">
        <f t="shared" si="1"/>
        <v>1.3773527849725173</v>
      </c>
      <c r="F19">
        <f t="shared" si="0"/>
        <v>9.4172150274827171E-3</v>
      </c>
      <c r="H19" s="1"/>
    </row>
    <row r="20" spans="1:8" x14ac:dyDescent="0.25">
      <c r="A20" s="35">
        <v>8.7999999999999998E-5</v>
      </c>
      <c r="B20" s="35">
        <v>1.3666799999999999</v>
      </c>
      <c r="E20" s="2">
        <f t="shared" si="1"/>
        <v>1.37675489821881</v>
      </c>
      <c r="F20">
        <f t="shared" si="0"/>
        <v>-1.0074898218810135E-2</v>
      </c>
      <c r="H20" s="1"/>
    </row>
    <row r="21" spans="1:8" x14ac:dyDescent="0.25">
      <c r="A21" s="35">
        <v>9.6000000000000002E-5</v>
      </c>
      <c r="B21" s="35">
        <v>1.3939900000000001</v>
      </c>
      <c r="E21" s="2">
        <f t="shared" si="1"/>
        <v>1.3762897833937102</v>
      </c>
      <c r="F21">
        <f t="shared" si="0"/>
        <v>1.7700216606289843E-2</v>
      </c>
      <c r="H21" s="1"/>
    </row>
    <row r="22" spans="1:8" x14ac:dyDescent="0.25">
      <c r="A22" s="35">
        <v>1.0399999999999999E-4</v>
      </c>
      <c r="B22" s="35">
        <v>1.3891899999999999</v>
      </c>
      <c r="E22" s="2">
        <f t="shared" si="1"/>
        <v>1.3759055550219839</v>
      </c>
      <c r="F22">
        <f t="shared" si="0"/>
        <v>1.3284444978016063E-2</v>
      </c>
      <c r="H22" s="1"/>
    </row>
    <row r="23" spans="1:8" x14ac:dyDescent="0.25">
      <c r="A23" s="35">
        <v>1.12E-4</v>
      </c>
      <c r="B23" s="35">
        <v>1.3713200000000001</v>
      </c>
      <c r="E23" s="2">
        <f t="shared" si="1"/>
        <v>1.3755707257304779</v>
      </c>
      <c r="F23">
        <f t="shared" si="0"/>
        <v>-4.2507257304778001E-3</v>
      </c>
      <c r="H23" s="1"/>
    </row>
    <row r="24" spans="1:8" x14ac:dyDescent="0.25">
      <c r="A24" s="35">
        <v>1.2E-4</v>
      </c>
      <c r="B24" s="35">
        <v>1.39923</v>
      </c>
      <c r="E24" s="2">
        <f t="shared" si="1"/>
        <v>1.3752661866163431</v>
      </c>
      <c r="F24">
        <f t="shared" si="0"/>
        <v>2.3963813383656829E-2</v>
      </c>
      <c r="H24" s="1"/>
    </row>
    <row r="25" spans="1:8" x14ac:dyDescent="0.25">
      <c r="A25" s="35">
        <v>1.2799999999999999E-4</v>
      </c>
      <c r="B25" s="35">
        <v>1.3813500000000001</v>
      </c>
      <c r="E25" s="2">
        <f t="shared" si="1"/>
        <v>1.3749803405810563</v>
      </c>
      <c r="F25">
        <f t="shared" si="0"/>
        <v>6.3696594189437405E-3</v>
      </c>
      <c r="H25" s="1"/>
    </row>
    <row r="26" spans="1:8" x14ac:dyDescent="0.25">
      <c r="A26" s="35">
        <v>1.44E-4</v>
      </c>
      <c r="B26" s="35">
        <v>1.3706</v>
      </c>
      <c r="E26" s="2">
        <f t="shared" si="1"/>
        <v>1.3744393396405183</v>
      </c>
      <c r="F26">
        <f t="shared" si="0"/>
        <v>-3.8393396405183022E-3</v>
      </c>
      <c r="H26" s="1"/>
    </row>
    <row r="27" spans="1:8" x14ac:dyDescent="0.25">
      <c r="A27" s="35">
        <v>1.6000000000000001E-4</v>
      </c>
      <c r="B27" s="35">
        <v>1.3781099999999999</v>
      </c>
      <c r="E27" s="2">
        <f t="shared" si="1"/>
        <v>1.3739185117794575</v>
      </c>
      <c r="F27">
        <f t="shared" si="0"/>
        <v>4.1914882205424941E-3</v>
      </c>
      <c r="H27" s="1"/>
    </row>
    <row r="28" spans="1:8" x14ac:dyDescent="0.25">
      <c r="A28" s="35">
        <v>1.76E-4</v>
      </c>
      <c r="B28" s="35">
        <v>1.3512999999999999</v>
      </c>
      <c r="E28" s="2">
        <f t="shared" si="1"/>
        <v>1.3734070873526962</v>
      </c>
      <c r="F28">
        <f t="shared" si="0"/>
        <v>-2.2107087352696286E-2</v>
      </c>
      <c r="H28" s="1"/>
    </row>
    <row r="29" spans="1:8" x14ac:dyDescent="0.25">
      <c r="A29" s="35">
        <v>1.92E-4</v>
      </c>
      <c r="B29" s="35">
        <v>1.3788400000000001</v>
      </c>
      <c r="E29" s="2">
        <f t="shared" si="1"/>
        <v>1.3729010880478765</v>
      </c>
      <c r="F29">
        <f t="shared" si="0"/>
        <v>5.9389119521235934E-3</v>
      </c>
      <c r="H29" s="1"/>
    </row>
    <row r="30" spans="1:8" x14ac:dyDescent="0.25">
      <c r="A30" s="35">
        <v>2.0799999999999999E-4</v>
      </c>
      <c r="B30" s="35">
        <v>1.3844799999999999</v>
      </c>
      <c r="E30" s="2">
        <f t="shared" si="1"/>
        <v>1.372399036603444</v>
      </c>
      <c r="F30">
        <f t="shared" si="0"/>
        <v>1.2080963396555955E-2</v>
      </c>
      <c r="H30" s="1"/>
    </row>
    <row r="31" spans="1:8" x14ac:dyDescent="0.25">
      <c r="A31" s="35">
        <v>2.24E-4</v>
      </c>
      <c r="B31" s="35">
        <v>1.3718999999999999</v>
      </c>
      <c r="E31" s="2">
        <f t="shared" si="1"/>
        <v>1.371900376870101</v>
      </c>
      <c r="F31">
        <f t="shared" si="0"/>
        <v>-3.7687010112641417E-7</v>
      </c>
      <c r="H31" s="1"/>
    </row>
    <row r="32" spans="1:8" x14ac:dyDescent="0.25">
      <c r="A32" s="35">
        <v>2.4000000000000001E-4</v>
      </c>
      <c r="B32" s="35">
        <v>1.36145</v>
      </c>
      <c r="E32" s="2">
        <f t="shared" si="1"/>
        <v>1.3714048919826005</v>
      </c>
      <c r="F32">
        <f t="shared" si="0"/>
        <v>-9.9548919826004667E-3</v>
      </c>
      <c r="H32" s="1"/>
    </row>
    <row r="33" spans="1:8" x14ac:dyDescent="0.25">
      <c r="A33" s="35">
        <v>2.5599999999999999E-4</v>
      </c>
      <c r="B33" s="35">
        <v>1.3681300000000001</v>
      </c>
      <c r="E33" s="2">
        <f t="shared" si="1"/>
        <v>1.3709124900953831</v>
      </c>
      <c r="F33">
        <f t="shared" si="0"/>
        <v>-2.7824900953830056E-3</v>
      </c>
      <c r="H33" s="1"/>
    </row>
    <row r="34" spans="1:8" x14ac:dyDescent="0.25">
      <c r="A34" s="35">
        <v>2.8800000000000001E-4</v>
      </c>
      <c r="B34" s="35">
        <v>1.3626499999999999</v>
      </c>
      <c r="E34" s="2">
        <f t="shared" si="1"/>
        <v>1.3699367694528264</v>
      </c>
      <c r="F34">
        <f t="shared" si="0"/>
        <v>-7.2867694528264693E-3</v>
      </c>
      <c r="H34" s="1"/>
    </row>
    <row r="35" spans="1:8" x14ac:dyDescent="0.25">
      <c r="A35" s="35">
        <v>3.2000000000000003E-4</v>
      </c>
      <c r="B35" s="35">
        <v>1.3584799999999999</v>
      </c>
      <c r="E35" s="2">
        <f t="shared" si="1"/>
        <v>1.3689729963174848</v>
      </c>
      <c r="F35">
        <f t="shared" si="0"/>
        <v>-1.0492996317484904E-2</v>
      </c>
      <c r="H35" s="1"/>
    </row>
    <row r="36" spans="1:8" x14ac:dyDescent="0.25">
      <c r="A36" s="35">
        <v>3.5199999999999999E-4</v>
      </c>
      <c r="B36" s="35">
        <v>1.3658699999999999</v>
      </c>
      <c r="E36" s="2">
        <f t="shared" si="1"/>
        <v>1.368021013292003</v>
      </c>
      <c r="F36">
        <f t="shared" si="0"/>
        <v>-2.1510132920030678E-3</v>
      </c>
      <c r="H36" s="1"/>
    </row>
    <row r="37" spans="1:8" x14ac:dyDescent="0.25">
      <c r="A37" s="35">
        <v>3.8400000000000001E-4</v>
      </c>
      <c r="B37" s="35">
        <v>1.37767</v>
      </c>
      <c r="E37" s="2">
        <f t="shared" si="1"/>
        <v>1.3670806728674108</v>
      </c>
      <c r="F37">
        <f t="shared" si="0"/>
        <v>1.0589327132589199E-2</v>
      </c>
      <c r="H37" s="1"/>
    </row>
    <row r="38" spans="1:8" x14ac:dyDescent="0.25">
      <c r="A38" s="35">
        <v>4.1599999999999997E-4</v>
      </c>
      <c r="B38" s="35">
        <v>1.3692299999999999</v>
      </c>
      <c r="E38" s="2">
        <f t="shared" si="1"/>
        <v>1.366151830441082</v>
      </c>
      <c r="F38">
        <f t="shared" si="0"/>
        <v>3.0781695589179314E-3</v>
      </c>
      <c r="H38" s="1"/>
    </row>
    <row r="39" spans="1:8" x14ac:dyDescent="0.25">
      <c r="A39" s="35">
        <v>4.4799999999999999E-4</v>
      </c>
      <c r="B39" s="35">
        <v>1.37094</v>
      </c>
      <c r="E39" s="2">
        <f t="shared" si="1"/>
        <v>1.3652343433504401</v>
      </c>
      <c r="F39">
        <f t="shared" si="0"/>
        <v>5.7056566495599093E-3</v>
      </c>
      <c r="H39" s="1"/>
    </row>
    <row r="40" spans="1:8" x14ac:dyDescent="0.25">
      <c r="A40" s="35">
        <v>4.8000000000000001E-4</v>
      </c>
      <c r="B40" s="35">
        <v>1.3688800000000001</v>
      </c>
      <c r="E40" s="2">
        <f t="shared" si="1"/>
        <v>1.3643280707227348</v>
      </c>
      <c r="F40">
        <f t="shared" si="0"/>
        <v>4.5519292772653319E-3</v>
      </c>
      <c r="H40" s="1"/>
    </row>
    <row r="41" spans="1:8" x14ac:dyDescent="0.25">
      <c r="A41" s="35">
        <v>5.1199999999999998E-4</v>
      </c>
      <c r="B41" s="35">
        <v>1.3544799999999999</v>
      </c>
      <c r="E41" s="2">
        <f t="shared" si="1"/>
        <v>1.3634328734357255</v>
      </c>
      <c r="F41">
        <f t="shared" si="0"/>
        <v>-8.9528734357255946E-3</v>
      </c>
      <c r="H41" s="1"/>
    </row>
    <row r="42" spans="1:8" x14ac:dyDescent="0.25">
      <c r="A42" s="35">
        <v>5.7600000000000001E-4</v>
      </c>
      <c r="B42" s="35">
        <v>1.3476900000000001</v>
      </c>
      <c r="E42" s="2">
        <f t="shared" si="1"/>
        <v>1.3616751570054531</v>
      </c>
      <c r="F42">
        <f t="shared" si="0"/>
        <v>-1.3985157005452997E-2</v>
      </c>
      <c r="H42" s="1"/>
    </row>
    <row r="43" spans="1:8" x14ac:dyDescent="0.25">
      <c r="A43" s="35">
        <v>6.4000000000000005E-4</v>
      </c>
      <c r="B43" s="35">
        <v>1.3657999999999999</v>
      </c>
      <c r="E43" s="2">
        <f t="shared" si="1"/>
        <v>1.3599601152234317</v>
      </c>
      <c r="F43">
        <f t="shared" si="0"/>
        <v>5.8398847765681605E-3</v>
      </c>
      <c r="H43" s="1"/>
    </row>
    <row r="44" spans="1:8" x14ac:dyDescent="0.25">
      <c r="A44" s="35">
        <v>7.0399999999999998E-4</v>
      </c>
      <c r="B44" s="35">
        <v>1.35894</v>
      </c>
      <c r="E44" s="2">
        <f t="shared" si="1"/>
        <v>1.3582866958579742</v>
      </c>
      <c r="F44">
        <f t="shared" si="0"/>
        <v>6.5330414202580123E-4</v>
      </c>
      <c r="H44" s="1"/>
    </row>
    <row r="45" spans="1:8" x14ac:dyDescent="0.25">
      <c r="A45" s="35">
        <v>7.6800000000000002E-4</v>
      </c>
      <c r="B45" s="35">
        <v>1.34439</v>
      </c>
      <c r="E45" s="2">
        <f t="shared" si="1"/>
        <v>1.3566538726257336</v>
      </c>
      <c r="F45">
        <f t="shared" si="0"/>
        <v>-1.2263872625733585E-2</v>
      </c>
      <c r="H45" s="1"/>
    </row>
    <row r="46" spans="1:8" x14ac:dyDescent="0.25">
      <c r="A46" s="35">
        <v>8.3199999999999995E-4</v>
      </c>
      <c r="B46" s="35">
        <v>1.3690599999999999</v>
      </c>
      <c r="E46" s="2">
        <f t="shared" si="1"/>
        <v>1.3550606445517972</v>
      </c>
      <c r="F46">
        <f t="shared" si="0"/>
        <v>1.3999355448202744E-2</v>
      </c>
      <c r="H46" s="1"/>
    </row>
    <row r="47" spans="1:8" x14ac:dyDescent="0.25">
      <c r="A47" s="35">
        <v>8.9599999999999999E-4</v>
      </c>
      <c r="B47" s="35">
        <v>1.3468</v>
      </c>
      <c r="E47" s="2">
        <f t="shared" si="1"/>
        <v>1.3535060353455644</v>
      </c>
      <c r="F47">
        <f t="shared" si="0"/>
        <v>-6.706035345564354E-3</v>
      </c>
      <c r="H47" s="1"/>
    </row>
    <row r="48" spans="1:8" x14ac:dyDescent="0.25">
      <c r="A48" s="35">
        <v>9.6000000000000002E-4</v>
      </c>
      <c r="B48" s="35">
        <v>1.3588</v>
      </c>
      <c r="E48" s="2">
        <f t="shared" si="1"/>
        <v>1.3519890927920164</v>
      </c>
      <c r="F48">
        <f t="shared" si="0"/>
        <v>6.8109072079836075E-3</v>
      </c>
      <c r="H48" s="1"/>
    </row>
    <row r="49" spans="1:8" x14ac:dyDescent="0.25">
      <c r="A49" s="35">
        <v>1.024E-3</v>
      </c>
      <c r="B49" s="35">
        <v>1.35128</v>
      </c>
      <c r="E49" s="2">
        <f t="shared" si="1"/>
        <v>1.3505088881579961</v>
      </c>
      <c r="F49">
        <f t="shared" si="0"/>
        <v>7.7111184200395755E-4</v>
      </c>
      <c r="H49" s="1"/>
    </row>
    <row r="50" spans="1:8" x14ac:dyDescent="0.25">
      <c r="A50" s="35">
        <v>1.152E-3</v>
      </c>
      <c r="B50" s="35">
        <v>1.3393999999999999</v>
      </c>
      <c r="E50" s="2">
        <f t="shared" si="1"/>
        <v>1.3476550916650352</v>
      </c>
      <c r="F50">
        <f t="shared" si="0"/>
        <v>-8.2550916650352413E-3</v>
      </c>
      <c r="H50" s="1"/>
    </row>
    <row r="51" spans="1:8" x14ac:dyDescent="0.25">
      <c r="A51" s="35">
        <v>1.2800000000000001E-3</v>
      </c>
      <c r="B51" s="35">
        <v>1.3345800000000001</v>
      </c>
      <c r="E51" s="2">
        <f t="shared" si="1"/>
        <v>1.3449376639879247</v>
      </c>
      <c r="F51">
        <f t="shared" si="0"/>
        <v>-1.0357663987924592E-2</v>
      </c>
      <c r="H51" s="1"/>
    </row>
    <row r="52" spans="1:8" x14ac:dyDescent="0.25">
      <c r="A52" s="35">
        <v>1.408E-3</v>
      </c>
      <c r="B52" s="35">
        <v>1.3298399999999999</v>
      </c>
      <c r="E52" s="2">
        <f t="shared" si="1"/>
        <v>1.3423499633512863</v>
      </c>
      <c r="F52">
        <f t="shared" si="0"/>
        <v>-1.2509963351286402E-2</v>
      </c>
      <c r="H52" s="1"/>
    </row>
    <row r="53" spans="1:8" x14ac:dyDescent="0.25">
      <c r="A53" s="35">
        <v>1.536E-3</v>
      </c>
      <c r="B53" s="35">
        <v>1.33788</v>
      </c>
      <c r="E53" s="2">
        <f t="shared" si="1"/>
        <v>1.3398856715156495</v>
      </c>
      <c r="F53">
        <f t="shared" si="0"/>
        <v>-2.0056715156495653E-3</v>
      </c>
      <c r="H53" s="1"/>
    </row>
    <row r="54" spans="1:8" x14ac:dyDescent="0.25">
      <c r="A54" s="35">
        <v>1.6639999999999999E-3</v>
      </c>
      <c r="B54" s="35">
        <v>1.3266800000000001</v>
      </c>
      <c r="E54" s="2">
        <f t="shared" si="1"/>
        <v>1.3375387780170493</v>
      </c>
      <c r="F54">
        <f t="shared" si="0"/>
        <v>-1.0858778017049264E-2</v>
      </c>
      <c r="H54" s="1"/>
    </row>
    <row r="55" spans="1:8" x14ac:dyDescent="0.25">
      <c r="A55" s="35">
        <v>1.792E-3</v>
      </c>
      <c r="B55" s="35">
        <v>1.3391900000000001</v>
      </c>
      <c r="E55" s="2">
        <f t="shared" si="1"/>
        <v>1.3353035651743648</v>
      </c>
      <c r="F55">
        <f t="shared" si="0"/>
        <v>3.886434825635332E-3</v>
      </c>
      <c r="H55" s="1"/>
    </row>
    <row r="56" spans="1:8" x14ac:dyDescent="0.25">
      <c r="A56" s="35">
        <v>1.92E-3</v>
      </c>
      <c r="B56" s="35">
        <v>1.3253900000000001</v>
      </c>
      <c r="E56" s="2">
        <f t="shared" si="1"/>
        <v>1.3331745938270103</v>
      </c>
      <c r="F56">
        <f t="shared" si="0"/>
        <v>-7.7845938270102444E-3</v>
      </c>
      <c r="H56" s="1"/>
    </row>
    <row r="57" spans="1:8" x14ac:dyDescent="0.25">
      <c r="A57" s="35">
        <v>2.0479999999999999E-3</v>
      </c>
      <c r="B57" s="35">
        <v>1.3294999999999999</v>
      </c>
      <c r="E57" s="2">
        <f t="shared" si="1"/>
        <v>1.33114668976739</v>
      </c>
      <c r="F57">
        <f t="shared" si="0"/>
        <v>-1.6466897673901304E-3</v>
      </c>
      <c r="H57" s="1"/>
    </row>
    <row r="58" spans="1:8" x14ac:dyDescent="0.25">
      <c r="A58" s="35">
        <v>2.3040000000000001E-3</v>
      </c>
      <c r="B58" s="35">
        <v>1.3274999999999999</v>
      </c>
      <c r="E58" s="2">
        <f t="shared" si="1"/>
        <v>1.3273746346349373</v>
      </c>
      <c r="F58">
        <f t="shared" si="0"/>
        <v>1.2536536506257967E-4</v>
      </c>
      <c r="H58" s="1"/>
    </row>
    <row r="59" spans="1:8" x14ac:dyDescent="0.25">
      <c r="A59" s="35">
        <v>2.5600000000000002E-3</v>
      </c>
      <c r="B59" s="35">
        <v>1.32212</v>
      </c>
      <c r="E59" s="2">
        <f t="shared" si="1"/>
        <v>1.3239508301991649</v>
      </c>
      <c r="F59">
        <f t="shared" si="0"/>
        <v>-1.8308301991649678E-3</v>
      </c>
      <c r="H59" s="1"/>
    </row>
    <row r="60" spans="1:8" x14ac:dyDescent="0.25">
      <c r="A60" s="35">
        <v>2.8159999999999999E-3</v>
      </c>
      <c r="B60" s="35">
        <v>1.3186199999999999</v>
      </c>
      <c r="E60" s="2">
        <f t="shared" si="1"/>
        <v>1.3208421828592334</v>
      </c>
      <c r="F60">
        <f t="shared" si="0"/>
        <v>-2.2221828592334791E-3</v>
      </c>
      <c r="H60" s="1"/>
    </row>
    <row r="61" spans="1:8" x14ac:dyDescent="0.25">
      <c r="A61" s="35">
        <v>3.0720000000000001E-3</v>
      </c>
      <c r="B61" s="35">
        <v>1.3246500000000001</v>
      </c>
      <c r="E61" s="2">
        <f t="shared" si="1"/>
        <v>1.3180187445909961</v>
      </c>
      <c r="F61">
        <f t="shared" si="0"/>
        <v>6.6312554090039999E-3</v>
      </c>
      <c r="H61" s="1"/>
    </row>
    <row r="62" spans="1:8" x14ac:dyDescent="0.25">
      <c r="A62" s="35">
        <v>3.3279999999999998E-3</v>
      </c>
      <c r="B62" s="35">
        <v>1.3178399999999999</v>
      </c>
      <c r="E62" s="2">
        <f t="shared" si="1"/>
        <v>1.3154534139524725</v>
      </c>
      <c r="F62">
        <f t="shared" si="0"/>
        <v>2.3865860475273948E-3</v>
      </c>
      <c r="H62" s="1"/>
    </row>
    <row r="63" spans="1:8" x14ac:dyDescent="0.25">
      <c r="A63" s="35">
        <v>3.5839999999999999E-3</v>
      </c>
      <c r="B63" s="35">
        <v>1.3119000000000001</v>
      </c>
      <c r="E63" s="2">
        <f t="shared" si="1"/>
        <v>1.3131216655098281</v>
      </c>
      <c r="F63">
        <f t="shared" si="0"/>
        <v>-1.2216655098280516E-3</v>
      </c>
      <c r="H63" s="1"/>
    </row>
    <row r="64" spans="1:8" x14ac:dyDescent="0.25">
      <c r="A64" s="35">
        <v>3.8400000000000001E-3</v>
      </c>
      <c r="B64" s="35">
        <v>1.3176099999999999</v>
      </c>
      <c r="E64" s="2">
        <f t="shared" si="1"/>
        <v>1.3110013049823528</v>
      </c>
      <c r="F64">
        <f t="shared" si="0"/>
        <v>6.6086950176471593E-3</v>
      </c>
      <c r="H64" s="1"/>
    </row>
    <row r="65" spans="1:8" x14ac:dyDescent="0.25">
      <c r="A65" s="35">
        <v>4.0959999999999998E-3</v>
      </c>
      <c r="B65" s="35">
        <v>1.3117000000000001</v>
      </c>
      <c r="E65" s="2">
        <f t="shared" si="1"/>
        <v>1.3090722476617296</v>
      </c>
      <c r="F65">
        <f t="shared" si="0"/>
        <v>2.6277523382705059E-3</v>
      </c>
      <c r="H65" s="1"/>
    </row>
    <row r="66" spans="1:8" x14ac:dyDescent="0.25">
      <c r="A66" s="35">
        <v>4.6080000000000001E-3</v>
      </c>
      <c r="B66" s="35">
        <v>1.31301</v>
      </c>
      <c r="E66" s="2">
        <f t="shared" si="1"/>
        <v>1.305717067617032</v>
      </c>
      <c r="F66">
        <f t="shared" ref="F66:F129" si="2">B66-E66</f>
        <v>7.2929323829680204E-3</v>
      </c>
      <c r="H66" s="1"/>
    </row>
    <row r="67" spans="1:8" x14ac:dyDescent="0.25">
      <c r="A67" s="35">
        <v>5.1200000000000004E-3</v>
      </c>
      <c r="B67" s="35">
        <v>1.30887</v>
      </c>
      <c r="E67" s="2">
        <f t="shared" ref="E67:E130" si="3">$D$2+1/$D$3*($D$8/(1+A67/$D$4)/SQRT(1+A67/$D$4/$D$5/$D$5)+(1-$D$8)/(1+A67/$D$6)/SQRT(1+A67/$D$6/$D$7/$D$7))*(1+$D$9*EXP(-A67/$D$10)+$D$11*EXP(-A67/$D$12))</f>
        <v>1.3029304816203013</v>
      </c>
      <c r="F67">
        <f t="shared" si="2"/>
        <v>5.9395183796986384E-3</v>
      </c>
      <c r="H67" s="1"/>
    </row>
    <row r="68" spans="1:8" x14ac:dyDescent="0.25">
      <c r="A68" s="35">
        <v>5.6319999999999999E-3</v>
      </c>
      <c r="B68" s="35">
        <v>1.30572</v>
      </c>
      <c r="E68" s="2">
        <f t="shared" si="3"/>
        <v>1.300609595572026</v>
      </c>
      <c r="F68">
        <f t="shared" si="2"/>
        <v>5.1104044279739469E-3</v>
      </c>
      <c r="H68" s="1"/>
    </row>
    <row r="69" spans="1:8" x14ac:dyDescent="0.25">
      <c r="A69" s="35">
        <v>6.1440000000000002E-3</v>
      </c>
      <c r="B69" s="35">
        <v>1.30284</v>
      </c>
      <c r="E69" s="2">
        <f t="shared" si="3"/>
        <v>1.2986701457977645</v>
      </c>
      <c r="F69">
        <f t="shared" si="2"/>
        <v>4.169854202235479E-3</v>
      </c>
      <c r="H69" s="1"/>
    </row>
    <row r="70" spans="1:8" x14ac:dyDescent="0.25">
      <c r="A70" s="35">
        <v>6.6559999999999996E-3</v>
      </c>
      <c r="B70" s="35">
        <v>1.30358</v>
      </c>
      <c r="E70" s="2">
        <f t="shared" si="3"/>
        <v>1.2970431256861752</v>
      </c>
      <c r="F70">
        <f t="shared" si="2"/>
        <v>6.5368743138247698E-3</v>
      </c>
      <c r="H70" s="1"/>
    </row>
    <row r="71" spans="1:8" x14ac:dyDescent="0.25">
      <c r="A71" s="35">
        <v>7.1679999999999999E-3</v>
      </c>
      <c r="B71" s="35">
        <v>1.2986800000000001</v>
      </c>
      <c r="E71" s="2">
        <f t="shared" si="3"/>
        <v>1.2956720231399252</v>
      </c>
      <c r="F71">
        <f t="shared" si="2"/>
        <v>3.0079768600748125E-3</v>
      </c>
      <c r="H71" s="1"/>
    </row>
    <row r="72" spans="1:8" x14ac:dyDescent="0.25">
      <c r="A72" s="35">
        <v>7.6800000000000002E-3</v>
      </c>
      <c r="B72" s="35">
        <v>1.2978499999999999</v>
      </c>
      <c r="E72" s="2">
        <f t="shared" si="3"/>
        <v>1.2945105582386225</v>
      </c>
      <c r="F72">
        <f t="shared" si="2"/>
        <v>3.3394417613774596E-3</v>
      </c>
      <c r="H72" s="1"/>
    </row>
    <row r="73" spans="1:8" x14ac:dyDescent="0.25">
      <c r="A73" s="35">
        <v>8.1919999999999996E-3</v>
      </c>
      <c r="B73" s="35">
        <v>1.29949</v>
      </c>
      <c r="E73" s="2">
        <f t="shared" si="3"/>
        <v>1.2935208305398287</v>
      </c>
      <c r="F73">
        <f t="shared" si="2"/>
        <v>5.9691694601713419E-3</v>
      </c>
      <c r="H73" s="1"/>
    </row>
    <row r="74" spans="1:8" x14ac:dyDescent="0.25">
      <c r="A74" s="35">
        <v>9.2160000000000002E-3</v>
      </c>
      <c r="B74" s="35">
        <v>1.29711</v>
      </c>
      <c r="E74" s="2">
        <f t="shared" si="3"/>
        <v>1.2919380536857583</v>
      </c>
      <c r="F74">
        <f t="shared" si="2"/>
        <v>5.1719463142416711E-3</v>
      </c>
      <c r="H74" s="1"/>
    </row>
    <row r="75" spans="1:8" x14ac:dyDescent="0.25">
      <c r="A75" s="35">
        <v>1.0240000000000001E-2</v>
      </c>
      <c r="B75" s="35">
        <v>1.29779</v>
      </c>
      <c r="E75" s="2">
        <f t="shared" si="3"/>
        <v>1.2907369027991034</v>
      </c>
      <c r="F75">
        <f t="shared" si="2"/>
        <v>7.0530972008966408E-3</v>
      </c>
      <c r="H75" s="1"/>
    </row>
    <row r="76" spans="1:8" x14ac:dyDescent="0.25">
      <c r="A76" s="35">
        <v>1.1264E-2</v>
      </c>
      <c r="B76" s="35">
        <v>1.2939700000000001</v>
      </c>
      <c r="E76" s="2">
        <f t="shared" si="3"/>
        <v>1.2897921036631939</v>
      </c>
      <c r="F76">
        <f t="shared" si="2"/>
        <v>4.1778963368062083E-3</v>
      </c>
      <c r="H76" s="1"/>
    </row>
    <row r="77" spans="1:8" x14ac:dyDescent="0.25">
      <c r="A77" s="35">
        <v>1.2288E-2</v>
      </c>
      <c r="B77" s="35">
        <v>1.29453</v>
      </c>
      <c r="E77" s="2">
        <f t="shared" si="3"/>
        <v>1.2890196379064391</v>
      </c>
      <c r="F77">
        <f t="shared" si="2"/>
        <v>5.5103620935608166E-3</v>
      </c>
      <c r="H77" s="1"/>
    </row>
    <row r="78" spans="1:8" x14ac:dyDescent="0.25">
      <c r="A78" s="35">
        <v>1.3311999999999999E-2</v>
      </c>
      <c r="B78" s="35">
        <v>1.2936799999999999</v>
      </c>
      <c r="E78" s="2">
        <f t="shared" si="3"/>
        <v>1.288363155745472</v>
      </c>
      <c r="F78">
        <f t="shared" si="2"/>
        <v>5.3168442545279415E-3</v>
      </c>
      <c r="H78" s="1"/>
    </row>
    <row r="79" spans="1:8" x14ac:dyDescent="0.25">
      <c r="A79" s="35">
        <v>1.4336E-2</v>
      </c>
      <c r="B79" s="35">
        <v>1.2900100000000001</v>
      </c>
      <c r="E79" s="2">
        <f t="shared" si="3"/>
        <v>1.2877848636187594</v>
      </c>
      <c r="F79">
        <f t="shared" si="2"/>
        <v>2.2251363812406666E-3</v>
      </c>
      <c r="H79" s="1"/>
    </row>
    <row r="80" spans="1:8" x14ac:dyDescent="0.25">
      <c r="A80" s="35">
        <v>1.536E-2</v>
      </c>
      <c r="B80" s="35">
        <v>1.2904800000000001</v>
      </c>
      <c r="E80" s="2">
        <f t="shared" si="3"/>
        <v>1.2872594129157306</v>
      </c>
      <c r="F80">
        <f t="shared" si="2"/>
        <v>3.2205870842694218E-3</v>
      </c>
      <c r="H80" s="1"/>
    </row>
    <row r="81" spans="1:8" x14ac:dyDescent="0.25">
      <c r="A81" s="35">
        <v>1.6383999999999999E-2</v>
      </c>
      <c r="B81" s="35">
        <v>1.2914600000000001</v>
      </c>
      <c r="E81" s="2">
        <f t="shared" si="3"/>
        <v>1.286769801401995</v>
      </c>
      <c r="F81">
        <f t="shared" si="2"/>
        <v>4.6901985980050132E-3</v>
      </c>
      <c r="H81" s="1"/>
    </row>
    <row r="82" spans="1:8" x14ac:dyDescent="0.25">
      <c r="A82" s="35">
        <v>1.8432E-2</v>
      </c>
      <c r="B82" s="35">
        <v>1.2891999999999999</v>
      </c>
      <c r="E82" s="2">
        <f t="shared" si="3"/>
        <v>1.2858562316583197</v>
      </c>
      <c r="F82">
        <f t="shared" si="2"/>
        <v>3.3437683416801534E-3</v>
      </c>
      <c r="H82" s="1"/>
    </row>
    <row r="83" spans="1:8" x14ac:dyDescent="0.25">
      <c r="A83" s="35">
        <v>2.0480000000000002E-2</v>
      </c>
      <c r="B83" s="35">
        <v>1.28742</v>
      </c>
      <c r="E83" s="2">
        <f t="shared" si="3"/>
        <v>1.2849909563410065</v>
      </c>
      <c r="F83">
        <f t="shared" si="2"/>
        <v>2.429043658993546E-3</v>
      </c>
      <c r="H83" s="1"/>
    </row>
    <row r="84" spans="1:8" x14ac:dyDescent="0.25">
      <c r="A84" s="35">
        <v>2.2527999999999999E-2</v>
      </c>
      <c r="B84" s="35">
        <v>1.2847299999999999</v>
      </c>
      <c r="E84" s="2">
        <f t="shared" si="3"/>
        <v>1.2841500240220591</v>
      </c>
      <c r="F84">
        <f t="shared" si="2"/>
        <v>5.7997597794079425E-4</v>
      </c>
      <c r="H84" s="1"/>
    </row>
    <row r="85" spans="1:8" x14ac:dyDescent="0.25">
      <c r="A85" s="35">
        <v>2.4576000000000001E-2</v>
      </c>
      <c r="B85" s="35">
        <v>1.2840199999999999</v>
      </c>
      <c r="E85" s="2">
        <f t="shared" si="3"/>
        <v>1.2833226386262435</v>
      </c>
      <c r="F85">
        <f t="shared" si="2"/>
        <v>6.9736137375642215E-4</v>
      </c>
      <c r="H85" s="1"/>
    </row>
    <row r="86" spans="1:8" x14ac:dyDescent="0.25">
      <c r="A86" s="35">
        <v>2.6623999999999998E-2</v>
      </c>
      <c r="B86" s="35">
        <v>1.2842499999999999</v>
      </c>
      <c r="E86" s="2">
        <f t="shared" si="3"/>
        <v>1.2825039216485814</v>
      </c>
      <c r="F86">
        <f t="shared" si="2"/>
        <v>1.7460783514184897E-3</v>
      </c>
      <c r="H86" s="1"/>
    </row>
    <row r="87" spans="1:8" x14ac:dyDescent="0.25">
      <c r="A87" s="35">
        <v>2.8672E-2</v>
      </c>
      <c r="B87" s="35">
        <v>1.2844199999999999</v>
      </c>
      <c r="E87" s="2">
        <f t="shared" si="3"/>
        <v>1.2816916566004535</v>
      </c>
      <c r="F87">
        <f t="shared" si="2"/>
        <v>2.7283433995464179E-3</v>
      </c>
      <c r="H87" s="1"/>
    </row>
    <row r="88" spans="1:8" x14ac:dyDescent="0.25">
      <c r="A88" s="35">
        <v>3.0720000000000001E-2</v>
      </c>
      <c r="B88" s="35">
        <v>1.2801199999999999</v>
      </c>
      <c r="E88" s="2">
        <f t="shared" si="3"/>
        <v>1.2808848246471209</v>
      </c>
      <c r="F88">
        <f t="shared" si="2"/>
        <v>-7.6482464712102072E-4</v>
      </c>
      <c r="H88" s="1"/>
    </row>
    <row r="89" spans="1:8" x14ac:dyDescent="0.25">
      <c r="A89" s="35">
        <v>3.2767999999999999E-2</v>
      </c>
      <c r="B89" s="35">
        <v>1.27946</v>
      </c>
      <c r="E89" s="2">
        <f t="shared" si="3"/>
        <v>1.2800829459234324</v>
      </c>
      <c r="F89">
        <f t="shared" si="2"/>
        <v>-6.2294592343237198E-4</v>
      </c>
      <c r="H89" s="1"/>
    </row>
    <row r="90" spans="1:8" x14ac:dyDescent="0.25">
      <c r="A90" s="35">
        <v>3.6864000000000001E-2</v>
      </c>
      <c r="B90" s="35">
        <v>1.2776400000000001</v>
      </c>
      <c r="E90" s="2">
        <f t="shared" si="3"/>
        <v>1.2784932088398469</v>
      </c>
      <c r="F90">
        <f t="shared" si="2"/>
        <v>-8.532088398467419E-4</v>
      </c>
      <c r="H90" s="1"/>
    </row>
    <row r="91" spans="1:8" x14ac:dyDescent="0.25">
      <c r="A91" s="35">
        <v>4.0960000000000003E-2</v>
      </c>
      <c r="B91" s="35">
        <v>1.27508</v>
      </c>
      <c r="E91" s="2">
        <f t="shared" si="3"/>
        <v>1.2769215340055686</v>
      </c>
      <c r="F91">
        <f t="shared" si="2"/>
        <v>-1.8415340055686347E-3</v>
      </c>
      <c r="H91" s="1"/>
    </row>
    <row r="92" spans="1:8" x14ac:dyDescent="0.25">
      <c r="A92" s="35">
        <v>4.5055999999999999E-2</v>
      </c>
      <c r="B92" s="35">
        <v>1.27362</v>
      </c>
      <c r="E92" s="2">
        <f t="shared" si="3"/>
        <v>1.2753674984069332</v>
      </c>
      <c r="F92">
        <f t="shared" si="2"/>
        <v>-1.7474984069332233E-3</v>
      </c>
      <c r="H92" s="1"/>
    </row>
    <row r="93" spans="1:8" x14ac:dyDescent="0.25">
      <c r="A93" s="35">
        <v>4.9152000000000001E-2</v>
      </c>
      <c r="B93" s="35">
        <v>1.27139</v>
      </c>
      <c r="E93" s="2">
        <f t="shared" si="3"/>
        <v>1.2738307831506288</v>
      </c>
      <c r="F93">
        <f t="shared" si="2"/>
        <v>-2.4407831506287891E-3</v>
      </c>
      <c r="H93" s="1"/>
    </row>
    <row r="94" spans="1:8" x14ac:dyDescent="0.25">
      <c r="A94" s="35">
        <v>5.3247999999999997E-2</v>
      </c>
      <c r="B94" s="35">
        <v>1.2694000000000001</v>
      </c>
      <c r="E94" s="2">
        <f t="shared" si="3"/>
        <v>1.2723110955731511</v>
      </c>
      <c r="F94">
        <f t="shared" si="2"/>
        <v>-2.9110955731510568E-3</v>
      </c>
      <c r="H94" s="1"/>
    </row>
    <row r="95" spans="1:8" x14ac:dyDescent="0.25">
      <c r="A95" s="35">
        <v>5.7343999999999999E-2</v>
      </c>
      <c r="B95" s="35">
        <v>1.26729</v>
      </c>
      <c r="E95" s="2">
        <f t="shared" si="3"/>
        <v>1.2708081533374553</v>
      </c>
      <c r="F95">
        <f t="shared" si="2"/>
        <v>-3.5181533374553098E-3</v>
      </c>
      <c r="H95" s="1"/>
    </row>
    <row r="96" spans="1:8" x14ac:dyDescent="0.25">
      <c r="A96" s="35">
        <v>6.1440000000000002E-2</v>
      </c>
      <c r="B96" s="35">
        <v>1.2662</v>
      </c>
      <c r="E96" s="2">
        <f t="shared" si="3"/>
        <v>1.2693216810775065</v>
      </c>
      <c r="F96">
        <f t="shared" si="2"/>
        <v>-3.121681077506544E-3</v>
      </c>
      <c r="H96" s="1"/>
    </row>
    <row r="97" spans="1:8" x14ac:dyDescent="0.25">
      <c r="A97" s="35">
        <v>6.5535999999999997E-2</v>
      </c>
      <c r="B97" s="35">
        <v>1.2636700000000001</v>
      </c>
      <c r="E97" s="2">
        <f t="shared" si="3"/>
        <v>1.2678514095864835</v>
      </c>
      <c r="F97">
        <f t="shared" si="2"/>
        <v>-4.1814095864833867E-3</v>
      </c>
      <c r="H97" s="1"/>
    </row>
    <row r="98" spans="1:8" x14ac:dyDescent="0.25">
      <c r="A98" s="35">
        <v>7.3728000000000002E-2</v>
      </c>
      <c r="B98" s="35">
        <v>1.26071</v>
      </c>
      <c r="E98" s="2">
        <f t="shared" si="3"/>
        <v>1.2649584212327492</v>
      </c>
      <c r="F98">
        <f t="shared" si="2"/>
        <v>-4.2484212327491555E-3</v>
      </c>
      <c r="H98" s="1"/>
    </row>
    <row r="99" spans="1:8" x14ac:dyDescent="0.25">
      <c r="A99" s="35">
        <v>8.1920000000000007E-2</v>
      </c>
      <c r="B99" s="35">
        <v>1.25803</v>
      </c>
      <c r="E99" s="2">
        <f t="shared" si="3"/>
        <v>1.2621271488129417</v>
      </c>
      <c r="F99">
        <f t="shared" si="2"/>
        <v>-4.0971488129417644E-3</v>
      </c>
      <c r="H99" s="1"/>
    </row>
    <row r="100" spans="1:8" x14ac:dyDescent="0.25">
      <c r="A100" s="35">
        <v>9.0111999999999998E-2</v>
      </c>
      <c r="B100" s="35">
        <v>1.25552</v>
      </c>
      <c r="E100" s="2">
        <f t="shared" si="3"/>
        <v>1.2593556389449119</v>
      </c>
      <c r="F100">
        <f t="shared" si="2"/>
        <v>-3.835638944911901E-3</v>
      </c>
      <c r="H100" s="1"/>
    </row>
    <row r="101" spans="1:8" x14ac:dyDescent="0.25">
      <c r="A101" s="35">
        <v>9.8304000000000002E-2</v>
      </c>
      <c r="B101" s="35">
        <v>1.2524</v>
      </c>
      <c r="E101" s="2">
        <f t="shared" si="3"/>
        <v>1.2566420198214845</v>
      </c>
      <c r="F101">
        <f t="shared" si="2"/>
        <v>-4.2420198214845328E-3</v>
      </c>
      <c r="H101" s="1"/>
    </row>
    <row r="102" spans="1:8" x14ac:dyDescent="0.25">
      <c r="A102" s="35">
        <v>0.10649599999999999</v>
      </c>
      <c r="B102" s="35">
        <v>1.2501899999999999</v>
      </c>
      <c r="E102" s="2">
        <f t="shared" si="3"/>
        <v>1.2539844969956642</v>
      </c>
      <c r="F102">
        <f t="shared" si="2"/>
        <v>-3.7944969956642538E-3</v>
      </c>
      <c r="H102" s="1"/>
    </row>
    <row r="103" spans="1:8" x14ac:dyDescent="0.25">
      <c r="A103" s="35">
        <v>0.114688</v>
      </c>
      <c r="B103" s="35">
        <v>1.24691</v>
      </c>
      <c r="E103" s="2">
        <f t="shared" si="3"/>
        <v>1.2513813494249486</v>
      </c>
      <c r="F103">
        <f t="shared" si="2"/>
        <v>-4.4713494249486452E-3</v>
      </c>
      <c r="H103" s="1"/>
    </row>
    <row r="104" spans="1:8" x14ac:dyDescent="0.25">
      <c r="A104" s="35">
        <v>0.12288</v>
      </c>
      <c r="B104" s="35">
        <v>1.2448399999999999</v>
      </c>
      <c r="E104" s="2">
        <f t="shared" si="3"/>
        <v>1.2488309257559265</v>
      </c>
      <c r="F104">
        <f t="shared" si="2"/>
        <v>-3.9909257559265221E-3</v>
      </c>
      <c r="H104" s="1"/>
    </row>
    <row r="105" spans="1:8" x14ac:dyDescent="0.25">
      <c r="A105" s="35">
        <v>0.13107199999999999</v>
      </c>
      <c r="B105" s="35">
        <v>1.2412399999999999</v>
      </c>
      <c r="E105" s="2">
        <f t="shared" si="3"/>
        <v>1.2463316408322829</v>
      </c>
      <c r="F105">
        <f t="shared" si="2"/>
        <v>-5.0916408322829732E-3</v>
      </c>
      <c r="H105" s="1"/>
    </row>
    <row r="106" spans="1:8" x14ac:dyDescent="0.25">
      <c r="A106" s="35">
        <v>0.147456</v>
      </c>
      <c r="B106" s="35">
        <v>1.23617</v>
      </c>
      <c r="E106" s="2">
        <f t="shared" si="3"/>
        <v>1.2414804580703134</v>
      </c>
      <c r="F106">
        <f t="shared" si="2"/>
        <v>-5.3104580703133841E-3</v>
      </c>
      <c r="H106" s="1"/>
    </row>
    <row r="107" spans="1:8" x14ac:dyDescent="0.25">
      <c r="A107" s="35">
        <v>0.16384000000000001</v>
      </c>
      <c r="B107" s="35">
        <v>1.2319599999999999</v>
      </c>
      <c r="E107" s="2">
        <f t="shared" si="3"/>
        <v>1.2368163237697984</v>
      </c>
      <c r="F107">
        <f t="shared" si="2"/>
        <v>-4.8563237697984984E-3</v>
      </c>
      <c r="H107" s="1"/>
    </row>
    <row r="108" spans="1:8" x14ac:dyDescent="0.25">
      <c r="A108" s="35">
        <v>0.180224</v>
      </c>
      <c r="B108" s="35">
        <v>1.2270399999999999</v>
      </c>
      <c r="E108" s="2">
        <f t="shared" si="3"/>
        <v>1.2323286285464965</v>
      </c>
      <c r="F108">
        <f t="shared" si="2"/>
        <v>-5.2886285464965876E-3</v>
      </c>
      <c r="H108" s="1"/>
    </row>
    <row r="109" spans="1:8" x14ac:dyDescent="0.25">
      <c r="A109" s="35">
        <v>0.196608</v>
      </c>
      <c r="B109" s="35">
        <v>1.22316</v>
      </c>
      <c r="E109" s="2">
        <f t="shared" si="3"/>
        <v>1.2280075504711729</v>
      </c>
      <c r="F109">
        <f t="shared" si="2"/>
        <v>-4.8475504711729123E-3</v>
      </c>
      <c r="H109" s="1"/>
    </row>
    <row r="110" spans="1:8" x14ac:dyDescent="0.25">
      <c r="A110" s="35">
        <v>0.21299199999999999</v>
      </c>
      <c r="B110" s="35">
        <v>1.2186699999999999</v>
      </c>
      <c r="E110" s="2">
        <f t="shared" si="3"/>
        <v>1.2238439833419783</v>
      </c>
      <c r="F110">
        <f t="shared" si="2"/>
        <v>-5.1739833419783832E-3</v>
      </c>
      <c r="H110" s="1"/>
    </row>
    <row r="111" spans="1:8" x14ac:dyDescent="0.25">
      <c r="A111" s="35">
        <v>0.229376</v>
      </c>
      <c r="B111" s="35">
        <v>1.21543</v>
      </c>
      <c r="E111" s="2">
        <f t="shared" si="3"/>
        <v>1.2198294726567747</v>
      </c>
      <c r="F111">
        <f t="shared" si="2"/>
        <v>-4.39947265677465E-3</v>
      </c>
      <c r="H111" s="1"/>
    </row>
    <row r="112" spans="1:8" x14ac:dyDescent="0.25">
      <c r="A112" s="35">
        <v>0.24576000000000001</v>
      </c>
      <c r="B112" s="35">
        <v>1.2106600000000001</v>
      </c>
      <c r="E112" s="2">
        <f t="shared" si="3"/>
        <v>1.2159561583380043</v>
      </c>
      <c r="F112">
        <f t="shared" si="2"/>
        <v>-5.296158338004231E-3</v>
      </c>
      <c r="H112" s="1"/>
    </row>
    <row r="113" spans="1:8" x14ac:dyDescent="0.25">
      <c r="A113" s="35">
        <v>0.26214399999999999</v>
      </c>
      <c r="B113" s="35">
        <v>1.2076</v>
      </c>
      <c r="E113" s="2">
        <f t="shared" si="3"/>
        <v>1.2122167233936256</v>
      </c>
      <c r="F113">
        <f t="shared" si="2"/>
        <v>-4.6167233936256213E-3</v>
      </c>
      <c r="H113" s="1"/>
    </row>
    <row r="114" spans="1:8" x14ac:dyDescent="0.25">
      <c r="A114" s="35">
        <v>0.29491200000000001</v>
      </c>
      <c r="B114" s="35">
        <v>1.2004900000000001</v>
      </c>
      <c r="E114" s="2">
        <f t="shared" si="3"/>
        <v>1.2051126670551873</v>
      </c>
      <c r="F114">
        <f t="shared" si="2"/>
        <v>-4.6226670551872129E-3</v>
      </c>
      <c r="H114" s="1"/>
    </row>
    <row r="115" spans="1:8" x14ac:dyDescent="0.25">
      <c r="A115" s="35">
        <v>0.32768000000000003</v>
      </c>
      <c r="B115" s="35">
        <v>1.1941299999999999</v>
      </c>
      <c r="E115" s="2">
        <f t="shared" si="3"/>
        <v>1.1984679885894736</v>
      </c>
      <c r="F115">
        <f t="shared" si="2"/>
        <v>-4.3379885894736514E-3</v>
      </c>
      <c r="H115" s="1"/>
    </row>
    <row r="116" spans="1:8" x14ac:dyDescent="0.25">
      <c r="A116" s="35">
        <v>0.36044799999999999</v>
      </c>
      <c r="B116" s="35">
        <v>1.18875</v>
      </c>
      <c r="E116" s="2">
        <f t="shared" si="3"/>
        <v>1.1922395477463734</v>
      </c>
      <c r="F116">
        <f t="shared" si="2"/>
        <v>-3.4895477463734448E-3</v>
      </c>
      <c r="H116" s="1"/>
    </row>
    <row r="117" spans="1:8" x14ac:dyDescent="0.25">
      <c r="A117" s="35">
        <v>0.39321600000000001</v>
      </c>
      <c r="B117" s="35">
        <v>1.1834</v>
      </c>
      <c r="E117" s="2">
        <f t="shared" si="3"/>
        <v>1.186389441968619</v>
      </c>
      <c r="F117">
        <f t="shared" si="2"/>
        <v>-2.9894419686189444E-3</v>
      </c>
      <c r="H117" s="1"/>
    </row>
    <row r="118" spans="1:8" x14ac:dyDescent="0.25">
      <c r="A118" s="35">
        <v>0.42598399999999997</v>
      </c>
      <c r="B118" s="35">
        <v>1.1779999999999999</v>
      </c>
      <c r="E118" s="2">
        <f t="shared" si="3"/>
        <v>1.1808842349179203</v>
      </c>
      <c r="F118">
        <f t="shared" si="2"/>
        <v>-2.8842349179203364E-3</v>
      </c>
      <c r="H118" s="1"/>
    </row>
    <row r="119" spans="1:8" x14ac:dyDescent="0.25">
      <c r="A119" s="35">
        <v>0.45875199999999999</v>
      </c>
      <c r="B119" s="35">
        <v>1.1732800000000001</v>
      </c>
      <c r="E119" s="2">
        <f t="shared" si="3"/>
        <v>1.1756943174580634</v>
      </c>
      <c r="F119">
        <f t="shared" si="2"/>
        <v>-2.4143174580633087E-3</v>
      </c>
      <c r="H119" s="1"/>
    </row>
    <row r="120" spans="1:8" x14ac:dyDescent="0.25">
      <c r="A120" s="35">
        <v>0.49152000000000001</v>
      </c>
      <c r="B120" s="35">
        <v>1.1691499999999999</v>
      </c>
      <c r="E120" s="2">
        <f t="shared" si="3"/>
        <v>1.1707933753007658</v>
      </c>
      <c r="F120">
        <f t="shared" si="2"/>
        <v>-1.6433753007658591E-3</v>
      </c>
      <c r="H120" s="1"/>
    </row>
    <row r="121" spans="1:8" x14ac:dyDescent="0.25">
      <c r="A121" s="35">
        <v>0.52428799999999998</v>
      </c>
      <c r="B121" s="35">
        <v>1.16465</v>
      </c>
      <c r="E121" s="2">
        <f t="shared" si="3"/>
        <v>1.1661579431053697</v>
      </c>
      <c r="F121">
        <f t="shared" si="2"/>
        <v>-1.5079431053697245E-3</v>
      </c>
      <c r="H121" s="1"/>
    </row>
    <row r="122" spans="1:8" x14ac:dyDescent="0.25">
      <c r="A122" s="35">
        <v>0.58982400000000001</v>
      </c>
      <c r="B122" s="35">
        <v>1.15683</v>
      </c>
      <c r="E122" s="2">
        <f t="shared" si="3"/>
        <v>1.1576017974398685</v>
      </c>
      <c r="F122">
        <f t="shared" si="2"/>
        <v>-7.7179743986843796E-4</v>
      </c>
      <c r="H122" s="1"/>
    </row>
    <row r="123" spans="1:8" x14ac:dyDescent="0.25">
      <c r="A123" s="35">
        <v>0.65536000000000005</v>
      </c>
      <c r="B123" s="35">
        <v>1.14944</v>
      </c>
      <c r="E123" s="2">
        <f t="shared" si="3"/>
        <v>1.1498822384169392</v>
      </c>
      <c r="F123">
        <f t="shared" si="2"/>
        <v>-4.4223841693913357E-4</v>
      </c>
      <c r="H123" s="1"/>
    </row>
    <row r="124" spans="1:8" x14ac:dyDescent="0.25">
      <c r="A124" s="35">
        <v>0.72089599999999998</v>
      </c>
      <c r="B124" s="35">
        <v>1.14316</v>
      </c>
      <c r="E124" s="2">
        <f t="shared" si="3"/>
        <v>1.142882381726966</v>
      </c>
      <c r="F124">
        <f t="shared" si="2"/>
        <v>2.776182730339638E-4</v>
      </c>
      <c r="H124" s="1"/>
    </row>
    <row r="125" spans="1:8" x14ac:dyDescent="0.25">
      <c r="A125" s="35">
        <v>0.78643200000000002</v>
      </c>
      <c r="B125" s="35">
        <v>1.13734</v>
      </c>
      <c r="E125" s="2">
        <f t="shared" si="3"/>
        <v>1.1365061474898248</v>
      </c>
      <c r="F125">
        <f t="shared" si="2"/>
        <v>8.3385251017520368E-4</v>
      </c>
      <c r="H125" s="1"/>
    </row>
    <row r="126" spans="1:8" x14ac:dyDescent="0.25">
      <c r="A126" s="35">
        <v>0.85196799999999995</v>
      </c>
      <c r="B126" s="35">
        <v>1.1318900000000001</v>
      </c>
      <c r="E126" s="2">
        <f t="shared" si="3"/>
        <v>1.1306738286901048</v>
      </c>
      <c r="F126">
        <f t="shared" si="2"/>
        <v>1.2161713098952642E-3</v>
      </c>
      <c r="H126" s="1"/>
    </row>
    <row r="127" spans="1:8" x14ac:dyDescent="0.25">
      <c r="A127" s="35">
        <v>0.91750399999999999</v>
      </c>
      <c r="B127" s="35">
        <v>1.12734</v>
      </c>
      <c r="E127" s="2">
        <f t="shared" si="3"/>
        <v>1.1253187460904748</v>
      </c>
      <c r="F127">
        <f t="shared" si="2"/>
        <v>2.0212539095252335E-3</v>
      </c>
      <c r="H127" s="1"/>
    </row>
    <row r="128" spans="1:8" x14ac:dyDescent="0.25">
      <c r="A128" s="35">
        <v>0.98304000000000002</v>
      </c>
      <c r="B128" s="35">
        <v>1.12286</v>
      </c>
      <c r="E128" s="2">
        <f t="shared" si="3"/>
        <v>1.1203846910582598</v>
      </c>
      <c r="F128">
        <f t="shared" si="2"/>
        <v>2.4753089417401952E-3</v>
      </c>
      <c r="H128" s="1"/>
    </row>
    <row r="129" spans="1:8" x14ac:dyDescent="0.25">
      <c r="A129" s="35">
        <v>1.048576</v>
      </c>
      <c r="B129" s="35">
        <v>1.11859</v>
      </c>
      <c r="E129" s="2">
        <f t="shared" si="3"/>
        <v>1.1158239479650083</v>
      </c>
      <c r="F129">
        <f t="shared" si="2"/>
        <v>2.7660520349916951E-3</v>
      </c>
      <c r="H129" s="1"/>
    </row>
    <row r="130" spans="1:8" x14ac:dyDescent="0.25">
      <c r="A130" s="35">
        <v>1.179648</v>
      </c>
      <c r="B130" s="35">
        <v>1.11104</v>
      </c>
      <c r="E130" s="2">
        <f t="shared" si="3"/>
        <v>1.1076650516213931</v>
      </c>
      <c r="F130">
        <f t="shared" ref="F130:F193" si="4">B130-E130</f>
        <v>3.3749483786069678E-3</v>
      </c>
      <c r="H130" s="1"/>
    </row>
    <row r="131" spans="1:8" x14ac:dyDescent="0.25">
      <c r="A131" s="35">
        <v>1.3107200000000001</v>
      </c>
      <c r="B131" s="35">
        <v>1.1048100000000001</v>
      </c>
      <c r="E131" s="2">
        <f t="shared" ref="E131:E194" si="5">$D$2+1/$D$3*($D$8/(1+A131/$D$4)/SQRT(1+A131/$D$4/$D$5/$D$5)+(1-$D$8)/(1+A131/$D$6)/SQRT(1+A131/$D$6/$D$7/$D$7))*(1+$D$9*EXP(-A131/$D$10)+$D$11*EXP(-A131/$D$12))</f>
        <v>1.100578999918711</v>
      </c>
      <c r="F131">
        <f t="shared" si="4"/>
        <v>4.2310000812890713E-3</v>
      </c>
      <c r="H131" s="1"/>
    </row>
    <row r="132" spans="1:8" x14ac:dyDescent="0.25">
      <c r="A132" s="35">
        <v>1.441792</v>
      </c>
      <c r="B132" s="35">
        <v>1.0989800000000001</v>
      </c>
      <c r="E132" s="2">
        <f t="shared" si="5"/>
        <v>1.0943675424616348</v>
      </c>
      <c r="F132">
        <f t="shared" si="4"/>
        <v>4.6124575383652555E-3</v>
      </c>
      <c r="H132" s="1"/>
    </row>
    <row r="133" spans="1:8" x14ac:dyDescent="0.25">
      <c r="A133" s="35">
        <v>1.572864</v>
      </c>
      <c r="B133" s="35">
        <v>1.09406</v>
      </c>
      <c r="E133" s="2">
        <f t="shared" si="5"/>
        <v>1.0888784363202415</v>
      </c>
      <c r="F133">
        <f t="shared" si="4"/>
        <v>5.1815636797585274E-3</v>
      </c>
      <c r="H133" s="1"/>
    </row>
    <row r="134" spans="1:8" x14ac:dyDescent="0.25">
      <c r="A134" s="35">
        <v>1.7039359999999999</v>
      </c>
      <c r="B134" s="35">
        <v>1.0897300000000001</v>
      </c>
      <c r="E134" s="2">
        <f t="shared" si="5"/>
        <v>1.0839928319091907</v>
      </c>
      <c r="F134">
        <f t="shared" si="4"/>
        <v>5.7371680908093747E-3</v>
      </c>
      <c r="H134" s="1"/>
    </row>
    <row r="135" spans="1:8" x14ac:dyDescent="0.25">
      <c r="A135" s="35">
        <v>1.835008</v>
      </c>
      <c r="B135" s="35">
        <v>1.0855600000000001</v>
      </c>
      <c r="E135" s="2">
        <f t="shared" si="5"/>
        <v>1.0796165932994728</v>
      </c>
      <c r="F135">
        <f t="shared" si="4"/>
        <v>5.9434067005272873E-3</v>
      </c>
      <c r="H135" s="1"/>
    </row>
    <row r="136" spans="1:8" x14ac:dyDescent="0.25">
      <c r="A136" s="35">
        <v>1.96608</v>
      </c>
      <c r="B136" s="35">
        <v>1.08203</v>
      </c>
      <c r="E136" s="2">
        <f t="shared" si="5"/>
        <v>1.0756741920049293</v>
      </c>
      <c r="F136">
        <f t="shared" si="4"/>
        <v>6.3558079950707391E-3</v>
      </c>
      <c r="H136" s="1"/>
    </row>
    <row r="137" spans="1:8" x14ac:dyDescent="0.25">
      <c r="A137" s="35">
        <v>2.0971519999999999</v>
      </c>
      <c r="B137" s="35">
        <v>1.07847</v>
      </c>
      <c r="E137" s="2">
        <f t="shared" si="5"/>
        <v>1.0721043259719467</v>
      </c>
      <c r="F137">
        <f t="shared" si="4"/>
        <v>6.3656740280533253E-3</v>
      </c>
      <c r="H137" s="1"/>
    </row>
    <row r="138" spans="1:8" x14ac:dyDescent="0.25">
      <c r="A138" s="35">
        <v>2.3592960000000001</v>
      </c>
      <c r="B138" s="35">
        <v>1.07213</v>
      </c>
      <c r="E138" s="2">
        <f t="shared" si="5"/>
        <v>1.0658897562577678</v>
      </c>
      <c r="F138">
        <f t="shared" si="4"/>
        <v>6.2402437422321988E-3</v>
      </c>
      <c r="H138" s="1"/>
    </row>
    <row r="139" spans="1:8" x14ac:dyDescent="0.25">
      <c r="A139" s="35">
        <v>2.6214400000000002</v>
      </c>
      <c r="B139" s="35">
        <v>1.06711</v>
      </c>
      <c r="E139" s="2">
        <f t="shared" si="5"/>
        <v>1.0606642554214123</v>
      </c>
      <c r="F139">
        <f t="shared" si="4"/>
        <v>6.4457445785877088E-3</v>
      </c>
      <c r="H139" s="1"/>
    </row>
    <row r="140" spans="1:8" x14ac:dyDescent="0.25">
      <c r="A140" s="35">
        <v>2.8835839999999999</v>
      </c>
      <c r="B140" s="35">
        <v>1.0625800000000001</v>
      </c>
      <c r="E140" s="2">
        <f t="shared" si="5"/>
        <v>1.0562098493184031</v>
      </c>
      <c r="F140">
        <f t="shared" si="4"/>
        <v>6.3701506815969644E-3</v>
      </c>
      <c r="H140" s="1"/>
    </row>
    <row r="141" spans="1:8" x14ac:dyDescent="0.25">
      <c r="A141" s="35">
        <v>3.1457280000000001</v>
      </c>
      <c r="B141" s="35">
        <v>1.0583499999999999</v>
      </c>
      <c r="E141" s="2">
        <f t="shared" si="5"/>
        <v>1.0523682109436288</v>
      </c>
      <c r="F141">
        <f t="shared" si="4"/>
        <v>5.9817890563711451E-3</v>
      </c>
      <c r="H141" s="1"/>
    </row>
    <row r="142" spans="1:8" x14ac:dyDescent="0.25">
      <c r="A142" s="35">
        <v>3.4078719999999998</v>
      </c>
      <c r="B142" s="35">
        <v>1.0540499999999999</v>
      </c>
      <c r="E142" s="2">
        <f t="shared" si="5"/>
        <v>1.0490215649913794</v>
      </c>
      <c r="F142">
        <f t="shared" si="4"/>
        <v>5.028435008620491E-3</v>
      </c>
      <c r="H142" s="1"/>
    </row>
    <row r="143" spans="1:8" x14ac:dyDescent="0.25">
      <c r="A143" s="35">
        <v>3.6700159999999999</v>
      </c>
      <c r="B143" s="35">
        <v>1.05081</v>
      </c>
      <c r="E143" s="2">
        <f t="shared" si="5"/>
        <v>1.0460804868062956</v>
      </c>
      <c r="F143">
        <f t="shared" si="4"/>
        <v>4.7295131937044044E-3</v>
      </c>
      <c r="H143" s="1"/>
    </row>
    <row r="144" spans="1:8" x14ac:dyDescent="0.25">
      <c r="A144" s="35">
        <v>3.9321600000000001</v>
      </c>
      <c r="B144" s="35">
        <v>1.0479099999999999</v>
      </c>
      <c r="E144" s="2">
        <f t="shared" si="5"/>
        <v>1.0434758564783824</v>
      </c>
      <c r="F144">
        <f t="shared" si="4"/>
        <v>4.4341435216175284E-3</v>
      </c>
      <c r="H144" s="1"/>
    </row>
    <row r="145" spans="1:8" x14ac:dyDescent="0.25">
      <c r="A145" s="35">
        <v>4.1943039999999998</v>
      </c>
      <c r="B145" s="35">
        <v>1.04508</v>
      </c>
      <c r="E145" s="2">
        <f t="shared" si="5"/>
        <v>1.041153405850948</v>
      </c>
      <c r="F145">
        <f t="shared" si="4"/>
        <v>3.926594149052054E-3</v>
      </c>
      <c r="H145" s="1"/>
    </row>
    <row r="146" spans="1:8" x14ac:dyDescent="0.25">
      <c r="A146" s="35">
        <v>4.7185920000000001</v>
      </c>
      <c r="B146" s="35">
        <v>1.03993</v>
      </c>
      <c r="E146" s="2">
        <f t="shared" si="5"/>
        <v>1.0371906198181011</v>
      </c>
      <c r="F146">
        <f t="shared" si="4"/>
        <v>2.7393801818988983E-3</v>
      </c>
      <c r="H146" s="1"/>
    </row>
    <row r="147" spans="1:8" x14ac:dyDescent="0.25">
      <c r="A147" s="35">
        <v>5.2428800000000004</v>
      </c>
      <c r="B147" s="35">
        <v>1.03623</v>
      </c>
      <c r="E147" s="2">
        <f t="shared" si="5"/>
        <v>1.0339359897001856</v>
      </c>
      <c r="F147">
        <f t="shared" si="4"/>
        <v>2.294010299814353E-3</v>
      </c>
      <c r="H147" s="1"/>
    </row>
    <row r="148" spans="1:8" x14ac:dyDescent="0.25">
      <c r="A148" s="35">
        <v>5.7671679999999999</v>
      </c>
      <c r="B148" s="35">
        <v>1.0321499999999999</v>
      </c>
      <c r="E148" s="2">
        <f t="shared" si="5"/>
        <v>1.0312166307796542</v>
      </c>
      <c r="F148">
        <f t="shared" si="4"/>
        <v>9.3336922034570335E-4</v>
      </c>
      <c r="H148" s="1"/>
    </row>
    <row r="149" spans="1:8" x14ac:dyDescent="0.25">
      <c r="A149" s="35">
        <v>6.2914560000000002</v>
      </c>
      <c r="B149" s="35">
        <v>1.0290699999999999</v>
      </c>
      <c r="E149" s="2">
        <f t="shared" si="5"/>
        <v>1.0289116341538886</v>
      </c>
      <c r="F149">
        <f t="shared" si="4"/>
        <v>1.5836584611128579E-4</v>
      </c>
      <c r="H149" s="1"/>
    </row>
    <row r="150" spans="1:8" x14ac:dyDescent="0.25">
      <c r="A150" s="35">
        <v>6.8157439999999996</v>
      </c>
      <c r="B150" s="35">
        <v>1.0263599999999999</v>
      </c>
      <c r="E150" s="2">
        <f t="shared" si="5"/>
        <v>1.0269339038395837</v>
      </c>
      <c r="F150">
        <f t="shared" si="4"/>
        <v>-5.7390383958377811E-4</v>
      </c>
      <c r="H150" s="1"/>
    </row>
    <row r="151" spans="1:8" x14ac:dyDescent="0.25">
      <c r="A151" s="35">
        <v>7.3400319999999999</v>
      </c>
      <c r="B151" s="35">
        <v>1.02359</v>
      </c>
      <c r="E151" s="2">
        <f t="shared" si="5"/>
        <v>1.0252191124303771</v>
      </c>
      <c r="F151">
        <f t="shared" si="4"/>
        <v>-1.629112430377111E-3</v>
      </c>
      <c r="H151" s="1"/>
    </row>
    <row r="152" spans="1:8" x14ac:dyDescent="0.25">
      <c r="A152" s="35">
        <v>7.8643200000000002</v>
      </c>
      <c r="B152" s="35">
        <v>1.0225900000000001</v>
      </c>
      <c r="E152" s="2">
        <f t="shared" si="5"/>
        <v>1.0237187199615612</v>
      </c>
      <c r="F152">
        <f t="shared" si="4"/>
        <v>-1.1287199615610533E-3</v>
      </c>
      <c r="H152" s="1"/>
    </row>
    <row r="153" spans="1:8" x14ac:dyDescent="0.25">
      <c r="A153" s="35">
        <v>8.3886079999999996</v>
      </c>
      <c r="B153" s="35">
        <v>1.0213399999999999</v>
      </c>
      <c r="E153" s="2">
        <f t="shared" si="5"/>
        <v>1.0223954127686778</v>
      </c>
      <c r="F153">
        <f t="shared" si="4"/>
        <v>-1.0554127686779324E-3</v>
      </c>
      <c r="H153" s="1"/>
    </row>
    <row r="154" spans="1:8" x14ac:dyDescent="0.25">
      <c r="A154" s="35">
        <v>9.4371840000000002</v>
      </c>
      <c r="B154" s="35">
        <v>1.01868</v>
      </c>
      <c r="E154" s="2">
        <f t="shared" si="5"/>
        <v>1.0201694856890924</v>
      </c>
      <c r="F154">
        <f t="shared" si="4"/>
        <v>-1.4894856890923514E-3</v>
      </c>
      <c r="H154" s="1"/>
    </row>
    <row r="155" spans="1:8" x14ac:dyDescent="0.25">
      <c r="A155" s="35">
        <v>10.485760000000001</v>
      </c>
      <c r="B155" s="35">
        <v>1.0163</v>
      </c>
      <c r="E155" s="2">
        <f t="shared" si="5"/>
        <v>1.0183721433961295</v>
      </c>
      <c r="F155">
        <f t="shared" si="4"/>
        <v>-2.0721433961294888E-3</v>
      </c>
      <c r="H155" s="1"/>
    </row>
    <row r="156" spans="1:8" x14ac:dyDescent="0.25">
      <c r="A156" s="35">
        <v>11.534336</v>
      </c>
      <c r="B156" s="35">
        <v>1.0145</v>
      </c>
      <c r="E156" s="2">
        <f t="shared" si="5"/>
        <v>1.0168923471102629</v>
      </c>
      <c r="F156">
        <f t="shared" si="4"/>
        <v>-2.3923471102629268E-3</v>
      </c>
      <c r="H156" s="1"/>
    </row>
    <row r="157" spans="1:8" x14ac:dyDescent="0.25">
      <c r="A157" s="35">
        <v>12.582912</v>
      </c>
      <c r="B157" s="35">
        <v>1.01325</v>
      </c>
      <c r="E157" s="2">
        <f t="shared" si="5"/>
        <v>1.0156542219748854</v>
      </c>
      <c r="F157">
        <f t="shared" si="4"/>
        <v>-2.4042219748854343E-3</v>
      </c>
      <c r="H157" s="1"/>
    </row>
    <row r="158" spans="1:8" x14ac:dyDescent="0.25">
      <c r="A158" s="35">
        <v>13.631487999999999</v>
      </c>
      <c r="B158" s="35">
        <v>1.01274</v>
      </c>
      <c r="E158" s="2">
        <f t="shared" si="5"/>
        <v>1.0146041732708848</v>
      </c>
      <c r="F158">
        <f t="shared" si="4"/>
        <v>-1.8641732708848391E-3</v>
      </c>
      <c r="H158" s="1"/>
    </row>
    <row r="159" spans="1:8" x14ac:dyDescent="0.25">
      <c r="A159" s="35">
        <v>14.680064</v>
      </c>
      <c r="B159" s="35">
        <v>1.01213</v>
      </c>
      <c r="E159" s="2">
        <f t="shared" si="5"/>
        <v>1.0137032786595441</v>
      </c>
      <c r="F159">
        <f t="shared" si="4"/>
        <v>-1.5732786595441528E-3</v>
      </c>
      <c r="H159" s="1"/>
    </row>
    <row r="160" spans="1:8" x14ac:dyDescent="0.25">
      <c r="A160" s="35">
        <v>15.72864</v>
      </c>
      <c r="B160" s="35">
        <v>1.01183</v>
      </c>
      <c r="E160" s="2">
        <f t="shared" si="5"/>
        <v>1.0129225970920883</v>
      </c>
      <c r="F160">
        <f t="shared" si="4"/>
        <v>-1.0925970920883099E-3</v>
      </c>
      <c r="H160" s="1"/>
    </row>
    <row r="161" spans="1:8" x14ac:dyDescent="0.25">
      <c r="A161" s="35">
        <v>16.777215999999999</v>
      </c>
      <c r="B161" s="35">
        <v>1.0114099999999999</v>
      </c>
      <c r="E161" s="2">
        <f t="shared" si="5"/>
        <v>1.0122401683704039</v>
      </c>
      <c r="F161">
        <f t="shared" si="4"/>
        <v>-8.3016837040394975E-4</v>
      </c>
      <c r="H161" s="1"/>
    </row>
    <row r="162" spans="1:8" x14ac:dyDescent="0.25">
      <c r="A162" s="35">
        <v>18.874368</v>
      </c>
      <c r="B162" s="35">
        <v>1.0114300000000001</v>
      </c>
      <c r="E162" s="2">
        <f t="shared" si="5"/>
        <v>1.0111058888921041</v>
      </c>
      <c r="F162">
        <f t="shared" si="4"/>
        <v>3.2411110789598574E-4</v>
      </c>
      <c r="H162" s="1"/>
    </row>
    <row r="163" spans="1:8" x14ac:dyDescent="0.25">
      <c r="A163" s="35">
        <v>20.971520000000002</v>
      </c>
      <c r="B163" s="35">
        <v>1.01023</v>
      </c>
      <c r="E163" s="2">
        <f t="shared" si="5"/>
        <v>1.0102033315759487</v>
      </c>
      <c r="F163">
        <f t="shared" si="4"/>
        <v>2.6668424051301542E-5</v>
      </c>
      <c r="H163" s="1"/>
    </row>
    <row r="164" spans="1:8" x14ac:dyDescent="0.25">
      <c r="A164" s="35">
        <v>23.068671999999999</v>
      </c>
      <c r="B164" s="35">
        <v>1.0083899999999999</v>
      </c>
      <c r="E164" s="2">
        <f t="shared" si="5"/>
        <v>1.0094699045641795</v>
      </c>
      <c r="F164">
        <f t="shared" si="4"/>
        <v>-1.0799045641796123E-3</v>
      </c>
      <c r="H164" s="1"/>
    </row>
    <row r="165" spans="1:8" x14ac:dyDescent="0.25">
      <c r="A165" s="35">
        <v>25.165824000000001</v>
      </c>
      <c r="B165" s="35">
        <v>1.0080499999999999</v>
      </c>
      <c r="E165" s="2">
        <f t="shared" si="5"/>
        <v>1.0088634930702272</v>
      </c>
      <c r="F165">
        <f t="shared" si="4"/>
        <v>-8.1349307022726691E-4</v>
      </c>
      <c r="H165" s="1"/>
    </row>
    <row r="166" spans="1:8" x14ac:dyDescent="0.25">
      <c r="A166" s="35">
        <v>27.262975999999998</v>
      </c>
      <c r="B166" s="35">
        <v>1.0081599999999999</v>
      </c>
      <c r="E166" s="2">
        <f t="shared" si="5"/>
        <v>1.0083547486149789</v>
      </c>
      <c r="F166">
        <f t="shared" si="4"/>
        <v>-1.9474861497892348E-4</v>
      </c>
      <c r="H166" s="1"/>
    </row>
    <row r="167" spans="1:8" x14ac:dyDescent="0.25">
      <c r="A167" s="35">
        <v>29.360128</v>
      </c>
      <c r="B167" s="35">
        <v>1.0078100000000001</v>
      </c>
      <c r="E167" s="2">
        <f t="shared" si="5"/>
        <v>1.0079226130805246</v>
      </c>
      <c r="F167">
        <f t="shared" si="4"/>
        <v>-1.1261308052445962E-4</v>
      </c>
      <c r="H167" s="1"/>
    </row>
    <row r="168" spans="1:8" x14ac:dyDescent="0.25">
      <c r="A168" s="35">
        <v>31.457280000000001</v>
      </c>
      <c r="B168" s="35">
        <v>1.00682</v>
      </c>
      <c r="E168" s="2">
        <f t="shared" si="5"/>
        <v>1.007551598928635</v>
      </c>
      <c r="F168">
        <f t="shared" si="4"/>
        <v>-7.3159892863494669E-4</v>
      </c>
      <c r="H168" s="1"/>
    </row>
    <row r="169" spans="1:8" x14ac:dyDescent="0.25">
      <c r="A169" s="35">
        <v>33.554431999999998</v>
      </c>
      <c r="B169" s="35">
        <v>1.0064900000000001</v>
      </c>
      <c r="E169" s="2">
        <f t="shared" si="5"/>
        <v>1.0072300717719131</v>
      </c>
      <c r="F169">
        <f t="shared" si="4"/>
        <v>-7.400717719130423E-4</v>
      </c>
      <c r="H169" s="1"/>
    </row>
    <row r="170" spans="1:8" x14ac:dyDescent="0.25">
      <c r="A170" s="35">
        <v>37.748736000000001</v>
      </c>
      <c r="B170" s="35">
        <v>1.00441</v>
      </c>
      <c r="E170" s="2">
        <f t="shared" si="5"/>
        <v>1.0067018512707568</v>
      </c>
      <c r="F170">
        <f t="shared" si="4"/>
        <v>-2.2918512707568173E-3</v>
      </c>
      <c r="H170" s="1"/>
    </row>
    <row r="171" spans="1:8" x14ac:dyDescent="0.25">
      <c r="A171" s="35">
        <v>41.943040000000003</v>
      </c>
      <c r="B171" s="35">
        <v>1.00342</v>
      </c>
      <c r="E171" s="2">
        <f t="shared" si="5"/>
        <v>1.006287548628233</v>
      </c>
      <c r="F171">
        <f t="shared" si="4"/>
        <v>-2.8675486282330187E-3</v>
      </c>
      <c r="H171" s="1"/>
    </row>
    <row r="172" spans="1:8" x14ac:dyDescent="0.25">
      <c r="A172" s="35">
        <v>46.137343999999999</v>
      </c>
      <c r="B172" s="35">
        <v>1.00309</v>
      </c>
      <c r="E172" s="2">
        <f t="shared" si="5"/>
        <v>1.0059551849490973</v>
      </c>
      <c r="F172">
        <f t="shared" si="4"/>
        <v>-2.8651849490972658E-3</v>
      </c>
      <c r="H172" s="1"/>
    </row>
    <row r="173" spans="1:8" x14ac:dyDescent="0.25">
      <c r="A173" s="35">
        <v>50.331648000000001</v>
      </c>
      <c r="B173" s="35">
        <v>1.00383</v>
      </c>
      <c r="E173" s="2">
        <f t="shared" si="5"/>
        <v>1.0056835465573517</v>
      </c>
      <c r="F173">
        <f t="shared" si="4"/>
        <v>-1.853546557351704E-3</v>
      </c>
      <c r="H173" s="1"/>
    </row>
    <row r="174" spans="1:8" x14ac:dyDescent="0.25">
      <c r="A174" s="35">
        <v>54.525951999999997</v>
      </c>
      <c r="B174" s="35">
        <v>1.0036700000000001</v>
      </c>
      <c r="E174" s="2">
        <f t="shared" si="5"/>
        <v>1.0054580403877387</v>
      </c>
      <c r="F174">
        <f t="shared" si="4"/>
        <v>-1.7880403877386097E-3</v>
      </c>
      <c r="H174" s="1"/>
    </row>
    <row r="175" spans="1:8" x14ac:dyDescent="0.25">
      <c r="A175" s="35">
        <v>58.720255999999999</v>
      </c>
      <c r="B175" s="35">
        <v>1.0035700000000001</v>
      </c>
      <c r="E175" s="2">
        <f t="shared" si="5"/>
        <v>1.005268319607509</v>
      </c>
      <c r="F175">
        <f t="shared" si="4"/>
        <v>-1.6983196075088802E-3</v>
      </c>
      <c r="H175" s="1"/>
    </row>
    <row r="176" spans="1:8" x14ac:dyDescent="0.25">
      <c r="A176" s="35">
        <v>62.914560000000002</v>
      </c>
      <c r="B176" s="35">
        <v>1.00342</v>
      </c>
      <c r="E176" s="2">
        <f t="shared" si="5"/>
        <v>1.0051068580078568</v>
      </c>
      <c r="F176">
        <f t="shared" si="4"/>
        <v>-1.6868580078568396E-3</v>
      </c>
      <c r="H176" s="1"/>
    </row>
    <row r="177" spans="1:8" x14ac:dyDescent="0.25">
      <c r="A177" s="35">
        <v>67.108863999999997</v>
      </c>
      <c r="B177" s="35">
        <v>1.0036</v>
      </c>
      <c r="E177" s="2">
        <f t="shared" si="5"/>
        <v>1.0049680596660575</v>
      </c>
      <c r="F177">
        <f t="shared" si="4"/>
        <v>-1.368059666057464E-3</v>
      </c>
      <c r="H177" s="1"/>
    </row>
    <row r="178" spans="1:8" x14ac:dyDescent="0.25">
      <c r="A178" s="35">
        <v>75.497472000000002</v>
      </c>
      <c r="B178" s="35">
        <v>1.0038</v>
      </c>
      <c r="E178" s="2">
        <f t="shared" si="5"/>
        <v>1.0047424631334878</v>
      </c>
      <c r="F178">
        <f t="shared" si="4"/>
        <v>-9.4246313348778088E-4</v>
      </c>
      <c r="H178" s="1"/>
    </row>
    <row r="179" spans="1:8" x14ac:dyDescent="0.25">
      <c r="A179" s="35">
        <v>83.886080000000007</v>
      </c>
      <c r="B179" s="35">
        <v>1.0027200000000001</v>
      </c>
      <c r="E179" s="2">
        <f t="shared" si="5"/>
        <v>1.0045677957847889</v>
      </c>
      <c r="F179">
        <f t="shared" si="4"/>
        <v>-1.847795784788886E-3</v>
      </c>
      <c r="H179" s="1"/>
    </row>
    <row r="180" spans="1:8" x14ac:dyDescent="0.25">
      <c r="A180" s="35">
        <v>92.274687999999998</v>
      </c>
      <c r="B180" s="35">
        <v>1.00343</v>
      </c>
      <c r="E180" s="2">
        <f t="shared" si="5"/>
        <v>1.0044292435196731</v>
      </c>
      <c r="F180">
        <f t="shared" si="4"/>
        <v>-9.9924351967306535E-4</v>
      </c>
      <c r="H180" s="1"/>
    </row>
    <row r="181" spans="1:8" x14ac:dyDescent="0.25">
      <c r="A181" s="35">
        <v>100.663296</v>
      </c>
      <c r="B181" s="35">
        <v>1.0025599999999999</v>
      </c>
      <c r="E181" s="2">
        <f t="shared" si="5"/>
        <v>1.0043171214483806</v>
      </c>
      <c r="F181">
        <f t="shared" si="4"/>
        <v>-1.7571214483806941E-3</v>
      </c>
      <c r="H181" s="1"/>
    </row>
    <row r="182" spans="1:8" x14ac:dyDescent="0.25">
      <c r="A182" s="35">
        <v>109.05190399999999</v>
      </c>
      <c r="B182" s="35">
        <v>1.00335</v>
      </c>
      <c r="E182" s="2">
        <f t="shared" si="5"/>
        <v>1.0042248538978977</v>
      </c>
      <c r="F182">
        <f t="shared" si="4"/>
        <v>-8.7485389789776491E-4</v>
      </c>
      <c r="H182" s="1"/>
    </row>
    <row r="183" spans="1:8" x14ac:dyDescent="0.25">
      <c r="A183" s="35">
        <v>117.440512</v>
      </c>
      <c r="B183" s="35">
        <v>1.0028999999999999</v>
      </c>
      <c r="E183" s="2">
        <f t="shared" si="5"/>
        <v>1.0041478333534608</v>
      </c>
      <c r="F183">
        <f t="shared" si="4"/>
        <v>-1.2478333534609032E-3</v>
      </c>
      <c r="H183" s="1"/>
    </row>
    <row r="184" spans="1:8" x14ac:dyDescent="0.25">
      <c r="A184" s="35">
        <v>125.82912</v>
      </c>
      <c r="B184" s="35">
        <v>1.00122</v>
      </c>
      <c r="E184" s="2">
        <f t="shared" si="5"/>
        <v>1.0040827441208653</v>
      </c>
      <c r="F184">
        <f t="shared" si="4"/>
        <v>-2.8627441208652904E-3</v>
      </c>
      <c r="H184" s="1"/>
    </row>
    <row r="185" spans="1:8" x14ac:dyDescent="0.25">
      <c r="A185" s="35">
        <v>134.21772799999999</v>
      </c>
      <c r="B185" s="35">
        <v>1.00231</v>
      </c>
      <c r="E185" s="2">
        <f t="shared" si="5"/>
        <v>1.0040271449111322</v>
      </c>
      <c r="F185">
        <f t="shared" si="4"/>
        <v>-1.7171449111321735E-3</v>
      </c>
      <c r="H185" s="1"/>
    </row>
    <row r="186" spans="1:8" x14ac:dyDescent="0.25">
      <c r="A186" s="35">
        <v>150.994944</v>
      </c>
      <c r="B186" s="35">
        <v>1.00326</v>
      </c>
      <c r="E186" s="2">
        <f t="shared" si="5"/>
        <v>1.0039375147220706</v>
      </c>
      <c r="F186">
        <f t="shared" si="4"/>
        <v>-6.7751472207056018E-4</v>
      </c>
      <c r="H186" s="1"/>
    </row>
    <row r="187" spans="1:8" x14ac:dyDescent="0.25">
      <c r="A187" s="35">
        <v>167.77216000000001</v>
      </c>
      <c r="B187" s="35">
        <v>1.0033300000000001</v>
      </c>
      <c r="E187" s="2">
        <f t="shared" si="5"/>
        <v>1.0038687874422665</v>
      </c>
      <c r="F187">
        <f t="shared" si="4"/>
        <v>-5.3878744226643072E-4</v>
      </c>
      <c r="H187" s="1"/>
    </row>
    <row r="188" spans="1:8" x14ac:dyDescent="0.25">
      <c r="A188" s="35">
        <v>184.549376</v>
      </c>
      <c r="B188" s="35">
        <v>1.0024500000000001</v>
      </c>
      <c r="E188" s="2">
        <f t="shared" si="5"/>
        <v>1.0038147153577817</v>
      </c>
      <c r="F188">
        <f t="shared" si="4"/>
        <v>-1.3647153577815985E-3</v>
      </c>
      <c r="H188" s="1"/>
    </row>
    <row r="189" spans="1:8" x14ac:dyDescent="0.25">
      <c r="A189" s="35">
        <v>201.32659200000001</v>
      </c>
      <c r="B189" s="35">
        <v>1.0023200000000001</v>
      </c>
      <c r="E189" s="2">
        <f t="shared" si="5"/>
        <v>1.0037712643173735</v>
      </c>
      <c r="F189">
        <f t="shared" si="4"/>
        <v>-1.451264317373413E-3</v>
      </c>
      <c r="H189" s="1"/>
    </row>
    <row r="190" spans="1:8" x14ac:dyDescent="0.25">
      <c r="A190" s="35">
        <v>218.10380799999999</v>
      </c>
      <c r="B190" s="35">
        <v>1.0030399999999999</v>
      </c>
      <c r="E190" s="2">
        <f t="shared" si="5"/>
        <v>1.0037357246375669</v>
      </c>
      <c r="F190">
        <f t="shared" si="4"/>
        <v>-6.9572463756695235E-4</v>
      </c>
      <c r="H190" s="1"/>
    </row>
    <row r="191" spans="1:8" x14ac:dyDescent="0.25">
      <c r="A191" s="35">
        <v>234.881024</v>
      </c>
      <c r="B191" s="35">
        <v>1.00258</v>
      </c>
      <c r="E191" s="2">
        <f t="shared" si="5"/>
        <v>1.0037062155154028</v>
      </c>
      <c r="F191">
        <f t="shared" si="4"/>
        <v>-1.1262155154028175E-3</v>
      </c>
      <c r="H191" s="1"/>
    </row>
    <row r="192" spans="1:8" x14ac:dyDescent="0.25">
      <c r="A192" s="35">
        <v>251.65824000000001</v>
      </c>
      <c r="B192" s="35">
        <v>1.0027900000000001</v>
      </c>
      <c r="E192" s="2">
        <f t="shared" si="5"/>
        <v>1.0036813947246679</v>
      </c>
      <c r="F192">
        <f t="shared" si="4"/>
        <v>-8.9139472466781555E-4</v>
      </c>
      <c r="H192" s="1"/>
    </row>
    <row r="193" spans="1:8" x14ac:dyDescent="0.25">
      <c r="A193" s="35">
        <v>268.43545599999999</v>
      </c>
      <c r="B193" s="35">
        <v>1.0033399999999999</v>
      </c>
      <c r="E193" s="2">
        <f t="shared" si="5"/>
        <v>1.0036602813240643</v>
      </c>
      <c r="F193">
        <f t="shared" si="4"/>
        <v>-3.2028132406436427E-4</v>
      </c>
      <c r="H193" s="1"/>
    </row>
    <row r="194" spans="1:8" x14ac:dyDescent="0.25">
      <c r="A194" s="35">
        <v>301.98988800000001</v>
      </c>
      <c r="B194" s="35">
        <v>1.0030600000000001</v>
      </c>
      <c r="E194" s="2">
        <f t="shared" si="5"/>
        <v>1.0036264251954721</v>
      </c>
      <c r="F194">
        <f t="shared" ref="F194:F238" si="6">B194-E194</f>
        <v>-5.6642519547200898E-4</v>
      </c>
      <c r="H194" s="1"/>
    </row>
    <row r="195" spans="1:8" x14ac:dyDescent="0.25">
      <c r="A195" s="35">
        <v>335.54432000000003</v>
      </c>
      <c r="B195" s="35">
        <v>1.00197</v>
      </c>
      <c r="E195" s="2">
        <f t="shared" ref="E195:E238" si="7">$D$2+1/$D$3*($D$8/(1+A195/$D$4)/SQRT(1+A195/$D$4/$D$5/$D$5)+(1-$D$8)/(1+A195/$D$6)/SQRT(1+A195/$D$6/$D$7/$D$7))*(1+$D$9*EXP(-A195/$D$10)+$D$11*EXP(-A195/$D$12))</f>
        <v>1.0036006240520849</v>
      </c>
      <c r="F195">
        <f t="shared" si="6"/>
        <v>-1.6306240520849169E-3</v>
      </c>
      <c r="H195" s="1"/>
    </row>
    <row r="196" spans="1:8" x14ac:dyDescent="0.25">
      <c r="A196" s="35">
        <v>369.09875199999999</v>
      </c>
      <c r="B196" s="35">
        <v>1.00159</v>
      </c>
      <c r="E196" s="2">
        <f t="shared" si="7"/>
        <v>1.0035804280198986</v>
      </c>
      <c r="F196">
        <f t="shared" si="6"/>
        <v>-1.9904280198985713E-3</v>
      </c>
      <c r="H196" s="1"/>
    </row>
    <row r="197" spans="1:8" x14ac:dyDescent="0.25">
      <c r="A197" s="35">
        <v>402.65318400000001</v>
      </c>
      <c r="B197" s="35">
        <v>1.00265</v>
      </c>
      <c r="E197" s="2">
        <f t="shared" si="7"/>
        <v>1.003564268640335</v>
      </c>
      <c r="F197">
        <f t="shared" si="6"/>
        <v>-9.1426864033494759E-4</v>
      </c>
      <c r="H197" s="1"/>
    </row>
    <row r="198" spans="1:8" x14ac:dyDescent="0.25">
      <c r="A198" s="35">
        <v>436.20761599999997</v>
      </c>
      <c r="B198" s="35">
        <v>1.00237</v>
      </c>
      <c r="E198" s="2">
        <f t="shared" si="7"/>
        <v>1.003551099977376</v>
      </c>
      <c r="F198">
        <f t="shared" si="6"/>
        <v>-1.1810999773760322E-3</v>
      </c>
      <c r="H198" s="1"/>
    </row>
    <row r="199" spans="1:8" x14ac:dyDescent="0.25">
      <c r="A199" s="35">
        <v>469.76204799999999</v>
      </c>
      <c r="B199" s="35">
        <v>1.00326</v>
      </c>
      <c r="E199" s="2">
        <f t="shared" si="7"/>
        <v>1.0035402005234726</v>
      </c>
      <c r="F199">
        <f t="shared" si="6"/>
        <v>-2.8020052347255131E-4</v>
      </c>
      <c r="H199" s="1"/>
    </row>
    <row r="200" spans="1:8" x14ac:dyDescent="0.25">
      <c r="A200" s="35">
        <v>503.31648000000001</v>
      </c>
      <c r="B200" s="35">
        <v>1.0027999999999999</v>
      </c>
      <c r="E200" s="2">
        <f t="shared" si="7"/>
        <v>1.0035310581364991</v>
      </c>
      <c r="F200">
        <f t="shared" si="6"/>
        <v>-7.3105813649920748E-4</v>
      </c>
      <c r="H200" s="1"/>
    </row>
    <row r="201" spans="1:8" x14ac:dyDescent="0.25">
      <c r="A201" s="35">
        <v>536.87091199999998</v>
      </c>
      <c r="B201" s="35">
        <v>1.0024999999999999</v>
      </c>
      <c r="E201" s="2">
        <f t="shared" si="7"/>
        <v>1.0035233002837012</v>
      </c>
      <c r="F201">
        <f t="shared" si="6"/>
        <v>-1.0233002837012339E-3</v>
      </c>
      <c r="H201" s="1"/>
    </row>
    <row r="202" spans="1:8" x14ac:dyDescent="0.25">
      <c r="A202" s="35">
        <v>603.97977600000002</v>
      </c>
      <c r="B202" s="35">
        <v>1.00183</v>
      </c>
      <c r="E202" s="2">
        <f t="shared" si="7"/>
        <v>1.0035108983520169</v>
      </c>
      <c r="F202">
        <f t="shared" si="6"/>
        <v>-1.6808983520169019E-3</v>
      </c>
      <c r="H202" s="1"/>
    </row>
    <row r="203" spans="1:8" x14ac:dyDescent="0.25">
      <c r="A203" s="35">
        <v>671.08864000000005</v>
      </c>
      <c r="B203" s="35">
        <v>1.0016799999999999</v>
      </c>
      <c r="E203" s="2">
        <f t="shared" si="7"/>
        <v>1.0035014802103113</v>
      </c>
      <c r="F203">
        <f t="shared" si="6"/>
        <v>-1.8214802103113659E-3</v>
      </c>
      <c r="H203" s="1"/>
    </row>
    <row r="204" spans="1:8" x14ac:dyDescent="0.25">
      <c r="A204" s="35">
        <v>738.19750399999998</v>
      </c>
      <c r="B204" s="35">
        <v>1.0024900000000001</v>
      </c>
      <c r="E204" s="2">
        <f t="shared" si="7"/>
        <v>1.0034941292786024</v>
      </c>
      <c r="F204">
        <f t="shared" si="6"/>
        <v>-1.0041292786022726E-3</v>
      </c>
      <c r="H204" s="1"/>
    </row>
    <row r="205" spans="1:8" x14ac:dyDescent="0.25">
      <c r="A205" s="35">
        <v>805.30636800000002</v>
      </c>
      <c r="B205" s="35">
        <v>1.00204</v>
      </c>
      <c r="E205" s="2">
        <f t="shared" si="7"/>
        <v>1.0034882617101164</v>
      </c>
      <c r="F205">
        <f t="shared" si="6"/>
        <v>-1.4482617101163608E-3</v>
      </c>
      <c r="H205" s="1"/>
    </row>
    <row r="206" spans="1:8" x14ac:dyDescent="0.25">
      <c r="A206" s="35">
        <v>872.41523199999995</v>
      </c>
      <c r="B206" s="35">
        <v>1.0016499999999999</v>
      </c>
      <c r="E206" s="2">
        <f t="shared" si="7"/>
        <v>1.0034834898051175</v>
      </c>
      <c r="F206">
        <f t="shared" si="6"/>
        <v>-1.8334898051175497E-3</v>
      </c>
      <c r="H206" s="1"/>
    </row>
    <row r="207" spans="1:8" x14ac:dyDescent="0.25">
      <c r="A207" s="35">
        <v>939.52409599999999</v>
      </c>
      <c r="B207" s="35">
        <v>1.0022899999999999</v>
      </c>
      <c r="E207" s="2">
        <f t="shared" si="7"/>
        <v>1.0034795470763467</v>
      </c>
      <c r="F207">
        <f t="shared" si="6"/>
        <v>-1.1895470763467753E-3</v>
      </c>
      <c r="H207" s="1"/>
    </row>
    <row r="208" spans="1:8" x14ac:dyDescent="0.25">
      <c r="A208" s="35">
        <v>1006.63296</v>
      </c>
      <c r="B208" s="35">
        <v>1.0022500000000001</v>
      </c>
      <c r="E208" s="2">
        <f t="shared" si="7"/>
        <v>1.0034762449455294</v>
      </c>
      <c r="F208">
        <f t="shared" si="6"/>
        <v>-1.2262449455293645E-3</v>
      </c>
      <c r="H208" s="1"/>
    </row>
    <row r="209" spans="1:8" x14ac:dyDescent="0.25">
      <c r="A209" s="35">
        <v>1073.741824</v>
      </c>
      <c r="B209" s="35">
        <v>1.0012399999999999</v>
      </c>
      <c r="E209" s="2">
        <f t="shared" si="7"/>
        <v>1.0034734466058985</v>
      </c>
      <c r="F209">
        <f t="shared" si="6"/>
        <v>-2.2334466058986369E-3</v>
      </c>
      <c r="H209" s="1"/>
    </row>
    <row r="210" spans="1:8" x14ac:dyDescent="0.25">
      <c r="A210" s="35">
        <v>1207.959552</v>
      </c>
      <c r="B210" s="35">
        <v>1.0018400000000001</v>
      </c>
      <c r="E210" s="2">
        <f t="shared" si="7"/>
        <v>1.003468980488943</v>
      </c>
      <c r="F210">
        <f t="shared" si="6"/>
        <v>-1.6289804889428883E-3</v>
      </c>
      <c r="H210" s="1"/>
    </row>
    <row r="211" spans="1:8" x14ac:dyDescent="0.25">
      <c r="A211" s="35">
        <v>1342.1772800000001</v>
      </c>
      <c r="B211" s="35">
        <v>1.00163</v>
      </c>
      <c r="E211" s="2">
        <f t="shared" si="7"/>
        <v>1.0034655952600213</v>
      </c>
      <c r="F211">
        <f t="shared" si="6"/>
        <v>-1.8355952600213055E-3</v>
      </c>
      <c r="H211" s="1"/>
    </row>
    <row r="212" spans="1:8" x14ac:dyDescent="0.25">
      <c r="A212" s="35">
        <v>1476.395008</v>
      </c>
      <c r="B212" s="35">
        <v>1.00248</v>
      </c>
      <c r="E212" s="2">
        <f t="shared" si="7"/>
        <v>1.0034629571089968</v>
      </c>
      <c r="F212">
        <f t="shared" si="6"/>
        <v>-9.8295710899676259E-4</v>
      </c>
      <c r="H212" s="1"/>
    </row>
    <row r="213" spans="1:8" x14ac:dyDescent="0.25">
      <c r="A213" s="35">
        <v>1610.612736</v>
      </c>
      <c r="B213" s="35">
        <v>1.0021500000000001</v>
      </c>
      <c r="E213" s="2">
        <f t="shared" si="7"/>
        <v>1.003460853993043</v>
      </c>
      <c r="F213">
        <f t="shared" si="6"/>
        <v>-1.3108539930428709E-3</v>
      </c>
      <c r="H213" s="1"/>
    </row>
    <row r="214" spans="1:8" x14ac:dyDescent="0.25">
      <c r="A214" s="35">
        <v>1744.8304639999999</v>
      </c>
      <c r="B214" s="35">
        <v>1.0029300000000001</v>
      </c>
      <c r="E214" s="2">
        <f t="shared" si="7"/>
        <v>1.0034591454291029</v>
      </c>
      <c r="F214">
        <f t="shared" si="6"/>
        <v>-5.2914542910276197E-4</v>
      </c>
      <c r="H214" s="1"/>
    </row>
    <row r="215" spans="1:8" x14ac:dyDescent="0.25">
      <c r="A215" s="35">
        <v>1879.048192</v>
      </c>
      <c r="B215" s="35">
        <v>1.00197</v>
      </c>
      <c r="E215" s="2">
        <f t="shared" si="7"/>
        <v>1.0034577350416594</v>
      </c>
      <c r="F215">
        <f t="shared" si="6"/>
        <v>-1.4877350416593327E-3</v>
      </c>
      <c r="H215" s="1"/>
    </row>
    <row r="216" spans="1:8" x14ac:dyDescent="0.25">
      <c r="A216" s="35">
        <v>2013.2659200000001</v>
      </c>
      <c r="B216" s="35">
        <v>1.0017100000000001</v>
      </c>
      <c r="E216" s="2">
        <f t="shared" si="7"/>
        <v>1.0034565547433176</v>
      </c>
      <c r="F216">
        <f t="shared" si="6"/>
        <v>-1.7465547433175299E-3</v>
      </c>
      <c r="H216" s="1"/>
    </row>
    <row r="217" spans="1:8" x14ac:dyDescent="0.25">
      <c r="A217" s="35">
        <v>2147.4836479999999</v>
      </c>
      <c r="B217" s="35">
        <v>1.0018899999999999</v>
      </c>
      <c r="E217" s="2">
        <f t="shared" si="7"/>
        <v>1.0034555552093132</v>
      </c>
      <c r="F217">
        <f t="shared" si="6"/>
        <v>-1.5655552093132297E-3</v>
      </c>
      <c r="H217" s="1"/>
    </row>
    <row r="218" spans="1:8" x14ac:dyDescent="0.25">
      <c r="A218" s="35">
        <v>2415.9191040000001</v>
      </c>
      <c r="B218" s="35">
        <v>1.0016</v>
      </c>
      <c r="E218" s="2">
        <f t="shared" si="7"/>
        <v>1.0034539613357121</v>
      </c>
      <c r="F218">
        <f t="shared" si="6"/>
        <v>-1.8539613357120288E-3</v>
      </c>
      <c r="H218" s="1"/>
    </row>
    <row r="219" spans="1:8" x14ac:dyDescent="0.25">
      <c r="A219" s="35">
        <v>2684.3545600000002</v>
      </c>
      <c r="B219" s="35">
        <v>1.0015499999999999</v>
      </c>
      <c r="E219" s="2">
        <f t="shared" si="7"/>
        <v>1.0034527543893625</v>
      </c>
      <c r="F219">
        <f t="shared" si="6"/>
        <v>-1.9027543893626042E-3</v>
      </c>
      <c r="H219" s="1"/>
    </row>
    <row r="220" spans="1:8" x14ac:dyDescent="0.25">
      <c r="A220" s="35">
        <v>2952.7900159999999</v>
      </c>
      <c r="B220" s="35">
        <v>1.0019199999999999</v>
      </c>
      <c r="E220" s="2">
        <f t="shared" si="7"/>
        <v>1.0034518145450857</v>
      </c>
      <c r="F220">
        <f t="shared" si="6"/>
        <v>-1.5318145450857745E-3</v>
      </c>
      <c r="H220" s="1"/>
    </row>
    <row r="221" spans="1:8" x14ac:dyDescent="0.25">
      <c r="A221" s="35">
        <v>3221.2254720000001</v>
      </c>
      <c r="B221" s="35">
        <v>1.00227</v>
      </c>
      <c r="E221" s="2">
        <f t="shared" si="7"/>
        <v>1.0034510657980027</v>
      </c>
      <c r="F221">
        <f t="shared" si="6"/>
        <v>-1.1810657980027006E-3</v>
      </c>
      <c r="H221" s="1"/>
    </row>
    <row r="222" spans="1:8" x14ac:dyDescent="0.25">
      <c r="A222" s="35">
        <v>3489.6609279999998</v>
      </c>
      <c r="B222" s="35">
        <v>1.00241</v>
      </c>
      <c r="E222" s="2">
        <f t="shared" si="7"/>
        <v>1.0034504578533896</v>
      </c>
      <c r="F222">
        <f t="shared" si="6"/>
        <v>-1.0404578533895759E-3</v>
      </c>
      <c r="H222" s="1"/>
    </row>
    <row r="223" spans="1:8" x14ac:dyDescent="0.25">
      <c r="A223" s="35">
        <v>3758.0963839999999</v>
      </c>
      <c r="B223" s="35">
        <v>1.0026600000000001</v>
      </c>
      <c r="E223" s="2">
        <f t="shared" si="7"/>
        <v>1.0034499562421626</v>
      </c>
      <c r="F223">
        <f t="shared" si="6"/>
        <v>-7.8995624216249283E-4</v>
      </c>
      <c r="H223" s="1"/>
    </row>
    <row r="224" spans="1:8" x14ac:dyDescent="0.25">
      <c r="A224" s="35">
        <v>4026.5318400000001</v>
      </c>
      <c r="B224" s="35">
        <v>1.0026299999999999</v>
      </c>
      <c r="E224" s="2">
        <f t="shared" si="7"/>
        <v>1.0034495366333585</v>
      </c>
      <c r="F224">
        <f t="shared" si="6"/>
        <v>-8.1953663335854188E-4</v>
      </c>
      <c r="H224" s="1"/>
    </row>
    <row r="225" spans="1:8" x14ac:dyDescent="0.25">
      <c r="A225" s="35">
        <v>4294.9672959999998</v>
      </c>
      <c r="B225" s="35">
        <v>1.0018</v>
      </c>
      <c r="E225" s="2">
        <f t="shared" si="7"/>
        <v>1.0034491814137678</v>
      </c>
      <c r="F225">
        <f t="shared" si="6"/>
        <v>-1.6491814137677974E-3</v>
      </c>
      <c r="H225" s="1"/>
    </row>
    <row r="226" spans="1:8" x14ac:dyDescent="0.25">
      <c r="A226" s="35">
        <v>4831.8382080000001</v>
      </c>
      <c r="B226" s="35">
        <v>1.00238</v>
      </c>
      <c r="E226" s="2">
        <f t="shared" si="7"/>
        <v>1.0034486152229847</v>
      </c>
      <c r="F226">
        <f t="shared" si="6"/>
        <v>-1.0686152229846257E-3</v>
      </c>
      <c r="H226" s="1"/>
    </row>
    <row r="227" spans="1:8" x14ac:dyDescent="0.25">
      <c r="A227" s="35">
        <v>5368.7091200000004</v>
      </c>
      <c r="B227" s="35">
        <v>1.0021100000000001</v>
      </c>
      <c r="E227" s="2">
        <f t="shared" si="7"/>
        <v>1.0034481866931388</v>
      </c>
      <c r="F227">
        <f t="shared" si="6"/>
        <v>-1.3381866931387876E-3</v>
      </c>
      <c r="H227" s="1"/>
    </row>
    <row r="228" spans="1:8" x14ac:dyDescent="0.25">
      <c r="A228" s="35">
        <v>5905.5800319999998</v>
      </c>
      <c r="B228" s="35">
        <v>1.00146</v>
      </c>
      <c r="E228" s="2">
        <f t="shared" si="7"/>
        <v>1.0034478531328455</v>
      </c>
      <c r="F228">
        <f t="shared" si="6"/>
        <v>-1.9878531328454407E-3</v>
      </c>
      <c r="H228" s="1"/>
    </row>
    <row r="229" spans="1:8" x14ac:dyDescent="0.25">
      <c r="A229" s="35">
        <v>6442.4509440000002</v>
      </c>
      <c r="B229" s="35">
        <v>1.00163</v>
      </c>
      <c r="E229" s="2">
        <f t="shared" si="7"/>
        <v>1.0034475874831599</v>
      </c>
      <c r="F229">
        <f t="shared" si="6"/>
        <v>-1.8175874831598549E-3</v>
      </c>
      <c r="H229" s="1"/>
    </row>
    <row r="230" spans="1:8" x14ac:dyDescent="0.25">
      <c r="A230" s="35">
        <v>6979.3218559999996</v>
      </c>
      <c r="B230" s="35">
        <v>1.0014700000000001</v>
      </c>
      <c r="E230" s="2">
        <f t="shared" si="7"/>
        <v>1.0034473718492944</v>
      </c>
      <c r="F230">
        <f t="shared" si="6"/>
        <v>-1.9773718492943626E-3</v>
      </c>
      <c r="H230" s="1"/>
    </row>
    <row r="231" spans="1:8" x14ac:dyDescent="0.25">
      <c r="A231" s="35">
        <v>7516.1927679999999</v>
      </c>
      <c r="B231" s="35">
        <v>1.00193</v>
      </c>
      <c r="E231" s="2">
        <f t="shared" si="7"/>
        <v>1.0034471939734666</v>
      </c>
      <c r="F231">
        <f t="shared" si="6"/>
        <v>-1.5171939734666129E-3</v>
      </c>
      <c r="H231" s="1"/>
    </row>
    <row r="232" spans="1:8" x14ac:dyDescent="0.25">
      <c r="A232" s="35">
        <v>8053.0636800000002</v>
      </c>
      <c r="B232" s="35">
        <v>1.0020199999999999</v>
      </c>
      <c r="E232" s="2">
        <f t="shared" si="7"/>
        <v>1.0034470452069353</v>
      </c>
      <c r="F232">
        <f t="shared" si="6"/>
        <v>-1.4270452069353734E-3</v>
      </c>
      <c r="H232" s="1"/>
    </row>
    <row r="233" spans="1:8" x14ac:dyDescent="0.25">
      <c r="A233" s="35">
        <v>8589.9345919999996</v>
      </c>
      <c r="B233" s="35">
        <v>1.00135</v>
      </c>
      <c r="E233" s="2">
        <f t="shared" si="7"/>
        <v>1.0034469192912057</v>
      </c>
      <c r="F233">
        <f t="shared" si="6"/>
        <v>-2.0969192912057011E-3</v>
      </c>
      <c r="H233" s="1"/>
    </row>
    <row r="234" spans="1:8" x14ac:dyDescent="0.25">
      <c r="A234" s="35">
        <v>9663.6764160000002</v>
      </c>
      <c r="B234" s="35">
        <v>1.00136</v>
      </c>
      <c r="E234" s="2">
        <f t="shared" si="7"/>
        <v>1.0034467186363341</v>
      </c>
      <c r="F234">
        <f t="shared" si="6"/>
        <v>-2.0867186363340284E-3</v>
      </c>
      <c r="H234" s="1"/>
    </row>
    <row r="235" spans="1:8" x14ac:dyDescent="0.25">
      <c r="A235" s="35">
        <v>10737.418240000001</v>
      </c>
      <c r="B235" s="35">
        <v>1.0000800000000001</v>
      </c>
      <c r="E235" s="2">
        <f t="shared" si="7"/>
        <v>1.003446566805809</v>
      </c>
      <c r="F235">
        <f t="shared" si="6"/>
        <v>-3.3665668058089349E-3</v>
      </c>
      <c r="H235" s="1"/>
    </row>
    <row r="236" spans="1:8" x14ac:dyDescent="0.25">
      <c r="A236" s="35">
        <v>11811.160064</v>
      </c>
      <c r="B236" s="35">
        <v>0.99975599999999998</v>
      </c>
      <c r="E236" s="2">
        <f t="shared" si="7"/>
        <v>1.0034464486474868</v>
      </c>
      <c r="F236">
        <f t="shared" si="6"/>
        <v>-3.6904486474867992E-3</v>
      </c>
      <c r="H236" s="1"/>
    </row>
    <row r="237" spans="1:8" x14ac:dyDescent="0.25">
      <c r="A237" s="35">
        <v>12884.901888</v>
      </c>
      <c r="B237" s="35">
        <v>1.0001</v>
      </c>
      <c r="E237" s="2">
        <f t="shared" si="7"/>
        <v>1.0034463545611425</v>
      </c>
      <c r="F237">
        <f t="shared" si="6"/>
        <v>-3.3463545611425172E-3</v>
      </c>
      <c r="H237" s="1"/>
    </row>
    <row r="238" spans="1:8" x14ac:dyDescent="0.25">
      <c r="A238" s="35">
        <v>13958.643711999999</v>
      </c>
      <c r="B238" s="35">
        <v>0.99988500000000002</v>
      </c>
      <c r="E238" s="2">
        <f t="shared" si="7"/>
        <v>1.0034462781998563</v>
      </c>
      <c r="F238">
        <f t="shared" si="6"/>
        <v>-3.5612781998562992E-3</v>
      </c>
      <c r="H238" s="1"/>
    </row>
    <row r="239" spans="1:8" x14ac:dyDescent="0.25">
      <c r="A239" s="35">
        <v>15032.385536</v>
      </c>
      <c r="B239" s="35">
        <v>0.99907100000000004</v>
      </c>
      <c r="H239" s="1"/>
    </row>
    <row r="240" spans="1:8" x14ac:dyDescent="0.25">
      <c r="A240" s="35">
        <v>16106.12736</v>
      </c>
      <c r="B240" s="35">
        <v>0.998892</v>
      </c>
      <c r="H240" s="1"/>
    </row>
    <row r="241" spans="1:8" x14ac:dyDescent="0.25">
      <c r="A241" s="35">
        <v>17179.869183999999</v>
      </c>
      <c r="B241" s="35">
        <v>0.99989300000000003</v>
      </c>
      <c r="H241" s="1"/>
    </row>
    <row r="242" spans="1:8" x14ac:dyDescent="0.25">
      <c r="A242" s="35">
        <v>19327.352832</v>
      </c>
      <c r="B242" s="35">
        <v>0.99910399999999999</v>
      </c>
      <c r="H242" s="1"/>
    </row>
    <row r="243" spans="1:8" x14ac:dyDescent="0.25">
      <c r="A243" s="35">
        <v>21474.836480000002</v>
      </c>
      <c r="B243" s="35">
        <v>0.99978900000000004</v>
      </c>
      <c r="H243" s="1"/>
    </row>
    <row r="244" spans="1:8" x14ac:dyDescent="0.25">
      <c r="A244" s="35">
        <v>23622.320127999999</v>
      </c>
      <c r="B244" s="35">
        <v>0.99895699999999998</v>
      </c>
      <c r="H244" s="1"/>
    </row>
    <row r="245" spans="1:8" x14ac:dyDescent="0.25">
      <c r="A245" s="35">
        <v>25769.803776000001</v>
      </c>
      <c r="B245" s="35">
        <v>0.99945700000000004</v>
      </c>
      <c r="H245" s="1"/>
    </row>
    <row r="246" spans="1:8" x14ac:dyDescent="0.25">
      <c r="A246" s="30">
        <v>27917.287423999998</v>
      </c>
      <c r="B246" s="30">
        <v>0.99356999999999995</v>
      </c>
      <c r="H246" s="1"/>
    </row>
    <row r="247" spans="1:8" x14ac:dyDescent="0.25">
      <c r="H247" s="1"/>
    </row>
    <row r="248" spans="1:8" x14ac:dyDescent="0.25">
      <c r="H248" s="1"/>
    </row>
  </sheetData>
  <phoneticPr fontId="14" type="noConversion"/>
  <pageMargins left="0.7" right="0.7" top="0.75" bottom="0.75" header="0.3" footer="0.3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>
      <selection activeCell="D4" sqref="D4"/>
    </sheetView>
  </sheetViews>
  <sheetFormatPr defaultColWidth="9" defaultRowHeight="15" x14ac:dyDescent="0.25"/>
  <cols>
    <col min="1" max="1" width="14.28515625" bestFit="1" customWidth="1"/>
    <col min="2" max="2" width="9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bestFit="1" customWidth="1"/>
  </cols>
  <sheetData>
    <row r="1" spans="1:12" x14ac:dyDescent="0.25">
      <c r="A1" t="s">
        <v>6</v>
      </c>
      <c r="B1" t="s">
        <v>7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36">
        <v>3.9999999999999998E-6</v>
      </c>
      <c r="B2" s="36">
        <v>1.3771199999999999</v>
      </c>
      <c r="C2" s="8" t="s">
        <v>1</v>
      </c>
      <c r="D2" s="9">
        <v>1.0058236173973045</v>
      </c>
      <c r="E2" s="2">
        <f>$D$2+1/$D$3*($D$8/(1+A2/$D$4)/SQRT(1+A2/$D$4/$D$5/$D$5)+(1-$D$8)/(1+A2/$D$6)/SQRT(1+A2/$D$6/$D$7/$D$7))*(1+$D$9*EXP(-A2/$D$10)+$D$11*EXP(-A2/$D$12))</f>
        <v>1.4549810298965362</v>
      </c>
      <c r="F2">
        <f t="shared" ref="F2:F65" si="0">B2-E2</f>
        <v>-7.7861029896536316E-2</v>
      </c>
      <c r="G2">
        <f>SUMSQ(F$3:F$190)</f>
        <v>1.2570953492432856E-2</v>
      </c>
      <c r="H2" s="1"/>
      <c r="I2" s="13" t="s">
        <v>19</v>
      </c>
      <c r="J2" s="16">
        <v>31.63</v>
      </c>
      <c r="L2" s="14">
        <f>(J2+J3)/D3</f>
        <v>30.787445996546829</v>
      </c>
    </row>
    <row r="3" spans="1:12" x14ac:dyDescent="0.25">
      <c r="A3" s="36">
        <v>7.9999999999999996E-6</v>
      </c>
      <c r="B3" s="36">
        <v>1.4871000000000001</v>
      </c>
      <c r="C3" s="8" t="s">
        <v>2</v>
      </c>
      <c r="D3" s="9">
        <v>3.2016296516137053</v>
      </c>
      <c r="E3" s="2">
        <f t="shared" ref="E3:E66" si="1">$D$2+1/$D$3*($D$8/(1+A3/$D$4)/SQRT(1+A3/$D$4/$D$5/$D$5)+(1-$D$8)/(1+A3/$D$6)/SQRT(1+A3/$D$6/$D$7/$D$7))*(1+$D$9*EXP(-A3/$D$10)+$D$11*EXP(-A3/$D$12))</f>
        <v>1.4535469923540101</v>
      </c>
      <c r="F3">
        <f t="shared" si="0"/>
        <v>3.3553007645990007E-2</v>
      </c>
      <c r="H3" s="1"/>
      <c r="I3" s="13" t="s">
        <v>20</v>
      </c>
      <c r="J3" s="16">
        <v>66.94</v>
      </c>
    </row>
    <row r="4" spans="1:12" x14ac:dyDescent="0.25">
      <c r="A4" s="36">
        <v>1.2E-5</v>
      </c>
      <c r="B4" s="36">
        <v>1.45028</v>
      </c>
      <c r="C4" s="8" t="s">
        <v>26</v>
      </c>
      <c r="D4" s="9">
        <v>0.70139500802630139</v>
      </c>
      <c r="E4" s="2">
        <f t="shared" si="1"/>
        <v>1.4521433499449667</v>
      </c>
      <c r="F4">
        <f t="shared" si="0"/>
        <v>-1.8633499449667301E-3</v>
      </c>
      <c r="H4" s="1"/>
      <c r="I4" s="4"/>
    </row>
    <row r="5" spans="1:12" x14ac:dyDescent="0.25">
      <c r="A5" s="36">
        <v>1.5999999999999999E-5</v>
      </c>
      <c r="B5" s="36">
        <v>1.4782599999999999</v>
      </c>
      <c r="C5" s="8" t="s">
        <v>22</v>
      </c>
      <c r="D5" s="9">
        <f>('1_Rh110 in buffer'!D5+'2_Rh110 in buffer'!D5)/2</f>
        <v>5.9953640241376469</v>
      </c>
      <c r="E5" s="2">
        <f t="shared" si="1"/>
        <v>1.4507694256348556</v>
      </c>
      <c r="F5">
        <f t="shared" si="0"/>
        <v>2.7490574365144349E-2</v>
      </c>
      <c r="H5" s="1"/>
      <c r="I5" s="4"/>
    </row>
    <row r="6" spans="1:12" x14ac:dyDescent="0.25">
      <c r="A6" s="36">
        <v>2.0000000000000002E-5</v>
      </c>
      <c r="B6" s="36">
        <v>1.43997</v>
      </c>
      <c r="C6" s="8" t="s">
        <v>25</v>
      </c>
      <c r="D6" s="9">
        <v>1.38</v>
      </c>
      <c r="E6" s="2">
        <f t="shared" si="1"/>
        <v>1.4494245575024618</v>
      </c>
      <c r="F6">
        <f t="shared" si="0"/>
        <v>-9.4545575024618245E-3</v>
      </c>
      <c r="H6" s="1"/>
      <c r="I6" s="4"/>
    </row>
    <row r="7" spans="1:12" x14ac:dyDescent="0.25">
      <c r="A7" s="36">
        <v>2.4000000000000001E-5</v>
      </c>
      <c r="B7" s="36">
        <v>1.4286700000000001</v>
      </c>
      <c r="C7" s="8" t="s">
        <v>22</v>
      </c>
      <c r="D7" s="9">
        <f>('1_Rh110 in buffer'!D5+'2_Rh110 in buffer'!D5)/2</f>
        <v>5.9953640241376469</v>
      </c>
      <c r="E7" s="2">
        <f t="shared" si="1"/>
        <v>1.448108098402503</v>
      </c>
      <c r="F7">
        <f t="shared" si="0"/>
        <v>-1.9438098402502879E-2</v>
      </c>
      <c r="H7" s="1"/>
      <c r="I7" s="4"/>
    </row>
    <row r="8" spans="1:12" x14ac:dyDescent="0.25">
      <c r="A8" s="36">
        <v>2.8E-5</v>
      </c>
      <c r="B8" s="36">
        <v>1.4718800000000001</v>
      </c>
      <c r="C8" s="8" t="s">
        <v>13</v>
      </c>
      <c r="D8" s="9">
        <v>1</v>
      </c>
      <c r="E8" s="2">
        <f t="shared" si="1"/>
        <v>1.4468194156357566</v>
      </c>
      <c r="F8">
        <f t="shared" si="0"/>
        <v>2.5060584364243521E-2</v>
      </c>
      <c r="H8" s="1"/>
      <c r="I8" s="4"/>
    </row>
    <row r="9" spans="1:12" x14ac:dyDescent="0.25">
      <c r="A9" s="36">
        <v>3.1999999999999999E-5</v>
      </c>
      <c r="B9" s="36">
        <v>1.4414400000000001</v>
      </c>
      <c r="C9" s="8" t="s">
        <v>14</v>
      </c>
      <c r="D9" s="9">
        <v>0.24349179345431826</v>
      </c>
      <c r="E9" s="2">
        <f t="shared" si="1"/>
        <v>1.4455578906265512</v>
      </c>
      <c r="F9">
        <f t="shared" si="0"/>
        <v>-4.1178906265511017E-3</v>
      </c>
      <c r="H9" s="1"/>
      <c r="I9" s="4"/>
    </row>
    <row r="10" spans="1:12" x14ac:dyDescent="0.25">
      <c r="A10" s="36">
        <v>3.6000000000000001E-5</v>
      </c>
      <c r="B10" s="36">
        <v>1.44733</v>
      </c>
      <c r="C10" s="8" t="s">
        <v>24</v>
      </c>
      <c r="D10" s="9">
        <v>4.1306742675177692E-3</v>
      </c>
      <c r="E10" s="2">
        <f t="shared" si="1"/>
        <v>1.4443229186074618</v>
      </c>
      <c r="F10">
        <f t="shared" si="0"/>
        <v>3.0070813925382467E-3</v>
      </c>
      <c r="H10" s="1"/>
      <c r="I10" s="4"/>
    </row>
    <row r="11" spans="1:12" x14ac:dyDescent="0.25">
      <c r="A11" s="36">
        <v>4.0000000000000003E-5</v>
      </c>
      <c r="B11" s="36">
        <v>1.45224</v>
      </c>
      <c r="C11" s="8" t="s">
        <v>15</v>
      </c>
      <c r="D11" s="9">
        <v>0.19923468482972359</v>
      </c>
      <c r="E11" s="2">
        <f t="shared" si="1"/>
        <v>1.4431139083110376</v>
      </c>
      <c r="F11">
        <f t="shared" si="0"/>
        <v>9.12609168896239E-3</v>
      </c>
      <c r="H11" s="1"/>
      <c r="I11" s="4"/>
    </row>
    <row r="12" spans="1:12" x14ac:dyDescent="0.25">
      <c r="A12" s="36">
        <v>4.3999999999999999E-5</v>
      </c>
      <c r="B12" s="36">
        <v>1.4164000000000001</v>
      </c>
      <c r="C12" s="8" t="s">
        <v>23</v>
      </c>
      <c r="D12" s="15">
        <v>1.7720877536522205E-4</v>
      </c>
      <c r="E12" s="2">
        <f t="shared" si="1"/>
        <v>1.4419302816684185</v>
      </c>
      <c r="F12">
        <f t="shared" si="0"/>
        <v>-2.553028166841842E-2</v>
      </c>
      <c r="H12" s="1"/>
      <c r="I12" s="4"/>
    </row>
    <row r="13" spans="1:12" x14ac:dyDescent="0.25">
      <c r="A13" s="36">
        <v>4.8000000000000001E-5</v>
      </c>
      <c r="B13" s="36">
        <v>1.4021600000000001</v>
      </c>
      <c r="E13" s="2">
        <f t="shared" si="1"/>
        <v>1.4407714735146766</v>
      </c>
      <c r="F13">
        <f t="shared" si="0"/>
        <v>-3.8611473514676531E-2</v>
      </c>
      <c r="H13" s="1"/>
    </row>
    <row r="14" spans="1:12" x14ac:dyDescent="0.25">
      <c r="A14" s="36">
        <v>5.1999999999999997E-5</v>
      </c>
      <c r="B14" s="36">
        <v>1.43211</v>
      </c>
      <c r="E14" s="2">
        <f t="shared" si="1"/>
        <v>1.4396369313007358</v>
      </c>
      <c r="F14">
        <f t="shared" si="0"/>
        <v>-7.5269313007357841E-3</v>
      </c>
      <c r="H14" s="1"/>
    </row>
    <row r="15" spans="1:12" x14ac:dyDescent="0.25">
      <c r="A15" s="36">
        <v>5.5999999999999999E-5</v>
      </c>
      <c r="B15" s="36">
        <v>1.45224</v>
      </c>
      <c r="E15" s="2">
        <f t="shared" si="1"/>
        <v>1.4385261148117243</v>
      </c>
      <c r="F15">
        <f t="shared" si="0"/>
        <v>1.3713885188275654E-2</v>
      </c>
      <c r="H15" s="1"/>
    </row>
    <row r="16" spans="1:12" x14ac:dyDescent="0.25">
      <c r="A16" s="36">
        <v>6.0000000000000002E-5</v>
      </c>
      <c r="B16" s="36">
        <v>1.4011800000000001</v>
      </c>
      <c r="E16" s="2">
        <f t="shared" si="1"/>
        <v>1.4374384958916149</v>
      </c>
      <c r="F16">
        <f t="shared" si="0"/>
        <v>-3.6258495891614784E-2</v>
      </c>
      <c r="H16" s="1"/>
    </row>
    <row r="17" spans="1:8" x14ac:dyDescent="0.25">
      <c r="A17" s="36">
        <v>6.3999999999999997E-5</v>
      </c>
      <c r="B17" s="36">
        <v>1.44929</v>
      </c>
      <c r="E17" s="2">
        <f t="shared" si="1"/>
        <v>1.4363735581740107</v>
      </c>
      <c r="F17">
        <f t="shared" si="0"/>
        <v>1.2916441825989278E-2</v>
      </c>
      <c r="H17" s="1"/>
    </row>
    <row r="18" spans="1:8" x14ac:dyDescent="0.25">
      <c r="A18" s="36">
        <v>7.2000000000000002E-5</v>
      </c>
      <c r="B18" s="36">
        <v>1.4348099999999999</v>
      </c>
      <c r="E18" s="2">
        <f t="shared" si="1"/>
        <v>1.4343097182555449</v>
      </c>
      <c r="F18">
        <f t="shared" si="0"/>
        <v>5.0028174445504447E-4</v>
      </c>
      <c r="H18" s="1"/>
    </row>
    <row r="19" spans="1:8" x14ac:dyDescent="0.25">
      <c r="A19" s="36">
        <v>8.0000000000000007E-5</v>
      </c>
      <c r="B19" s="36">
        <v>1.41689</v>
      </c>
      <c r="E19" s="2">
        <f t="shared" si="1"/>
        <v>1.4323306900619219</v>
      </c>
      <c r="F19">
        <f t="shared" si="0"/>
        <v>-1.5440690061921947E-2</v>
      </c>
      <c r="H19" s="1"/>
    </row>
    <row r="20" spans="1:8" x14ac:dyDescent="0.25">
      <c r="A20" s="36">
        <v>8.7999999999999998E-5</v>
      </c>
      <c r="B20" s="36">
        <v>1.4355500000000001</v>
      </c>
      <c r="E20" s="2">
        <f t="shared" si="1"/>
        <v>1.4304327409875373</v>
      </c>
      <c r="F20">
        <f t="shared" si="0"/>
        <v>5.1172590124628492E-3</v>
      </c>
      <c r="H20" s="1"/>
    </row>
    <row r="21" spans="1:8" x14ac:dyDescent="0.25">
      <c r="A21" s="36">
        <v>9.6000000000000002E-5</v>
      </c>
      <c r="B21" s="36">
        <v>1.42499</v>
      </c>
      <c r="E21" s="2">
        <f t="shared" si="1"/>
        <v>1.4286123032043738</v>
      </c>
      <c r="F21">
        <f t="shared" si="0"/>
        <v>-3.6223032043738446E-3</v>
      </c>
      <c r="H21" s="1"/>
    </row>
    <row r="22" spans="1:8" x14ac:dyDescent="0.25">
      <c r="A22" s="36">
        <v>1.0399999999999999E-4</v>
      </c>
      <c r="B22" s="36">
        <v>1.4073199999999999</v>
      </c>
      <c r="E22" s="2">
        <f t="shared" si="1"/>
        <v>1.4268659663868342</v>
      </c>
      <c r="F22">
        <f t="shared" si="0"/>
        <v>-1.9545966386834257E-2</v>
      </c>
      <c r="H22" s="1"/>
    </row>
    <row r="23" spans="1:8" x14ac:dyDescent="0.25">
      <c r="A23" s="36">
        <v>1.12E-4</v>
      </c>
      <c r="B23" s="36">
        <v>1.4237599999999999</v>
      </c>
      <c r="E23" s="2">
        <f t="shared" si="1"/>
        <v>1.4251904707577874</v>
      </c>
      <c r="F23">
        <f t="shared" si="0"/>
        <v>-1.4304707577874609E-3</v>
      </c>
      <c r="H23" s="1"/>
    </row>
    <row r="24" spans="1:8" x14ac:dyDescent="0.25">
      <c r="A24" s="36">
        <v>1.2E-4</v>
      </c>
      <c r="B24" s="36">
        <v>1.4456100000000001</v>
      </c>
      <c r="E24" s="2">
        <f t="shared" si="1"/>
        <v>1.4235827004416419</v>
      </c>
      <c r="F24">
        <f t="shared" si="0"/>
        <v>2.2027299558358138E-2</v>
      </c>
      <c r="H24" s="1"/>
    </row>
    <row r="25" spans="1:8" x14ac:dyDescent="0.25">
      <c r="A25" s="36">
        <v>1.2799999999999999E-4</v>
      </c>
      <c r="B25" s="36">
        <v>1.43628</v>
      </c>
      <c r="E25" s="2">
        <f t="shared" si="1"/>
        <v>1.4220396771108916</v>
      </c>
      <c r="F25">
        <f t="shared" si="0"/>
        <v>1.424032288910837E-2</v>
      </c>
      <c r="H25" s="1"/>
    </row>
    <row r="26" spans="1:8" x14ac:dyDescent="0.25">
      <c r="A26" s="36">
        <v>1.44E-4</v>
      </c>
      <c r="B26" s="36">
        <v>1.4085399999999999</v>
      </c>
      <c r="E26" s="2">
        <f t="shared" si="1"/>
        <v>1.4191366096664915</v>
      </c>
      <c r="F26">
        <f t="shared" si="0"/>
        <v>-1.0596609666491563E-2</v>
      </c>
      <c r="H26" s="1"/>
    </row>
    <row r="27" spans="1:8" x14ac:dyDescent="0.25">
      <c r="A27" s="36">
        <v>1.6000000000000001E-4</v>
      </c>
      <c r="B27" s="36">
        <v>1.42536</v>
      </c>
      <c r="E27" s="2">
        <f t="shared" si="1"/>
        <v>1.4164599686037196</v>
      </c>
      <c r="F27">
        <f t="shared" si="0"/>
        <v>8.9000313962803723E-3</v>
      </c>
      <c r="H27" s="1"/>
    </row>
    <row r="28" spans="1:8" x14ac:dyDescent="0.25">
      <c r="A28" s="36">
        <v>1.76E-4</v>
      </c>
      <c r="B28" s="36">
        <v>1.39774</v>
      </c>
      <c r="E28" s="2">
        <f t="shared" si="1"/>
        <v>1.4139902930680788</v>
      </c>
      <c r="F28">
        <f t="shared" si="0"/>
        <v>-1.6250293068078792E-2</v>
      </c>
      <c r="H28" s="1"/>
    </row>
    <row r="29" spans="1:8" x14ac:dyDescent="0.25">
      <c r="A29" s="36">
        <v>1.92E-4</v>
      </c>
      <c r="B29" s="36">
        <v>1.4245000000000001</v>
      </c>
      <c r="E29" s="2">
        <f t="shared" si="1"/>
        <v>1.4117098023706713</v>
      </c>
      <c r="F29">
        <f t="shared" si="0"/>
        <v>1.2790197629328759E-2</v>
      </c>
      <c r="H29" s="1"/>
    </row>
    <row r="30" spans="1:8" x14ac:dyDescent="0.25">
      <c r="A30" s="36">
        <v>2.0799999999999999E-4</v>
      </c>
      <c r="B30" s="36">
        <v>1.40449</v>
      </c>
      <c r="E30" s="2">
        <f t="shared" si="1"/>
        <v>1.4096022509005124</v>
      </c>
      <c r="F30">
        <f t="shared" si="0"/>
        <v>-5.1122509005123717E-3</v>
      </c>
      <c r="H30" s="1"/>
    </row>
    <row r="31" spans="1:8" x14ac:dyDescent="0.25">
      <c r="A31" s="36">
        <v>2.24E-4</v>
      </c>
      <c r="B31" s="36">
        <v>1.4101399999999999</v>
      </c>
      <c r="E31" s="2">
        <f t="shared" si="1"/>
        <v>1.4076527955657436</v>
      </c>
      <c r="F31">
        <f t="shared" si="0"/>
        <v>2.4872044342563182E-3</v>
      </c>
      <c r="H31" s="1"/>
    </row>
    <row r="32" spans="1:8" x14ac:dyDescent="0.25">
      <c r="A32" s="36">
        <v>2.4000000000000001E-4</v>
      </c>
      <c r="B32" s="36">
        <v>1.4300200000000001</v>
      </c>
      <c r="E32" s="2">
        <f t="shared" si="1"/>
        <v>1.4058478746818313</v>
      </c>
      <c r="F32">
        <f t="shared" si="0"/>
        <v>2.4172125318168813E-2</v>
      </c>
      <c r="H32" s="1"/>
    </row>
    <row r="33" spans="1:8" x14ac:dyDescent="0.25">
      <c r="A33" s="36">
        <v>2.5599999999999999E-4</v>
      </c>
      <c r="B33" s="36">
        <v>1.41892</v>
      </c>
      <c r="E33" s="2">
        <f t="shared" si="1"/>
        <v>1.4041750973182481</v>
      </c>
      <c r="F33">
        <f t="shared" si="0"/>
        <v>1.4744902681751881E-2</v>
      </c>
      <c r="H33" s="1"/>
    </row>
    <row r="34" spans="1:8" x14ac:dyDescent="0.25">
      <c r="A34" s="36">
        <v>2.8800000000000001E-4</v>
      </c>
      <c r="B34" s="36">
        <v>1.4088499999999999</v>
      </c>
      <c r="E34" s="2">
        <f t="shared" si="1"/>
        <v>1.4011816653424485</v>
      </c>
      <c r="F34">
        <f t="shared" si="0"/>
        <v>7.6683346575514566E-3</v>
      </c>
      <c r="H34" s="1"/>
    </row>
    <row r="35" spans="1:8" x14ac:dyDescent="0.25">
      <c r="A35" s="36">
        <v>3.2000000000000003E-4</v>
      </c>
      <c r="B35" s="36">
        <v>1.40517</v>
      </c>
      <c r="E35" s="2">
        <f t="shared" si="1"/>
        <v>1.3985931578410622</v>
      </c>
      <c r="F35">
        <f t="shared" si="0"/>
        <v>6.5768421589378345E-3</v>
      </c>
      <c r="H35" s="1"/>
    </row>
    <row r="36" spans="1:8" x14ac:dyDescent="0.25">
      <c r="A36" s="36">
        <v>3.5199999999999999E-4</v>
      </c>
      <c r="B36" s="36">
        <v>1.3816600000000001</v>
      </c>
      <c r="E36" s="2">
        <f t="shared" si="1"/>
        <v>1.3963433390246627</v>
      </c>
      <c r="F36">
        <f t="shared" si="0"/>
        <v>-1.4683339024662567E-2</v>
      </c>
      <c r="H36" s="1"/>
    </row>
    <row r="37" spans="1:8" x14ac:dyDescent="0.25">
      <c r="A37" s="36">
        <v>3.8400000000000001E-4</v>
      </c>
      <c r="B37" s="36">
        <v>1.3940600000000001</v>
      </c>
      <c r="E37" s="2">
        <f t="shared" si="1"/>
        <v>1.3943769133714117</v>
      </c>
      <c r="F37">
        <f t="shared" si="0"/>
        <v>-3.1691337141159792E-4</v>
      </c>
      <c r="H37" s="1"/>
    </row>
    <row r="38" spans="1:8" x14ac:dyDescent="0.25">
      <c r="A38" s="36">
        <v>4.1599999999999997E-4</v>
      </c>
      <c r="B38" s="36">
        <v>1.3869400000000001</v>
      </c>
      <c r="E38" s="2">
        <f t="shared" si="1"/>
        <v>1.3926477177773264</v>
      </c>
      <c r="F38">
        <f t="shared" si="0"/>
        <v>-5.707717777326371E-3</v>
      </c>
      <c r="H38" s="1"/>
    </row>
    <row r="39" spans="1:8" x14ac:dyDescent="0.25">
      <c r="A39" s="36">
        <v>4.4799999999999999E-4</v>
      </c>
      <c r="B39" s="36">
        <v>1.39836</v>
      </c>
      <c r="E39" s="2">
        <f t="shared" si="1"/>
        <v>1.3911172124552973</v>
      </c>
      <c r="F39">
        <f t="shared" si="0"/>
        <v>7.2427875447027557E-3</v>
      </c>
      <c r="H39" s="1"/>
    </row>
    <row r="40" spans="1:8" x14ac:dyDescent="0.25">
      <c r="A40" s="36">
        <v>4.8000000000000001E-4</v>
      </c>
      <c r="B40" s="36">
        <v>1.3853500000000001</v>
      </c>
      <c r="E40" s="2">
        <f t="shared" si="1"/>
        <v>1.3897532212143073</v>
      </c>
      <c r="F40">
        <f t="shared" si="0"/>
        <v>-4.4032212143072513E-3</v>
      </c>
      <c r="H40" s="1"/>
    </row>
    <row r="41" spans="1:8" x14ac:dyDescent="0.25">
      <c r="A41" s="36">
        <v>5.1199999999999998E-4</v>
      </c>
      <c r="B41" s="36">
        <v>1.3825499999999999</v>
      </c>
      <c r="E41" s="2">
        <f t="shared" si="1"/>
        <v>1.3885288799085194</v>
      </c>
      <c r="F41">
        <f t="shared" si="0"/>
        <v>-5.9788799085194189E-3</v>
      </c>
      <c r="H41" s="1"/>
    </row>
    <row r="42" spans="1:8" x14ac:dyDescent="0.25">
      <c r="A42" s="36">
        <v>5.7600000000000001E-4</v>
      </c>
      <c r="B42" s="36">
        <v>1.3862099999999999</v>
      </c>
      <c r="E42" s="2">
        <f t="shared" si="1"/>
        <v>1.3864131291110386</v>
      </c>
      <c r="F42">
        <f t="shared" si="0"/>
        <v>-2.0312911103870235E-4</v>
      </c>
      <c r="H42" s="1"/>
    </row>
    <row r="43" spans="1:8" x14ac:dyDescent="0.25">
      <c r="A43" s="36">
        <v>6.4000000000000005E-4</v>
      </c>
      <c r="B43" s="36">
        <v>1.38731</v>
      </c>
      <c r="E43" s="2">
        <f t="shared" si="1"/>
        <v>1.3846313706568032</v>
      </c>
      <c r="F43">
        <f t="shared" si="0"/>
        <v>2.6786293431968478E-3</v>
      </c>
      <c r="H43" s="1"/>
    </row>
    <row r="44" spans="1:8" x14ac:dyDescent="0.25">
      <c r="A44" s="36">
        <v>7.0399999999999998E-4</v>
      </c>
      <c r="B44" s="36">
        <v>1.3847</v>
      </c>
      <c r="E44" s="2">
        <f t="shared" si="1"/>
        <v>1.3830869620504991</v>
      </c>
      <c r="F44">
        <f t="shared" si="0"/>
        <v>1.6130379495009617E-3</v>
      </c>
      <c r="H44" s="1"/>
    </row>
    <row r="45" spans="1:8" x14ac:dyDescent="0.25">
      <c r="A45" s="36">
        <v>7.6800000000000002E-4</v>
      </c>
      <c r="B45" s="36">
        <v>1.37666</v>
      </c>
      <c r="E45" s="2">
        <f t="shared" si="1"/>
        <v>1.3817124907722163</v>
      </c>
      <c r="F45">
        <f t="shared" si="0"/>
        <v>-5.052490772216256E-3</v>
      </c>
      <c r="H45" s="1"/>
    </row>
    <row r="46" spans="1:8" x14ac:dyDescent="0.25">
      <c r="A46" s="36">
        <v>8.3199999999999995E-4</v>
      </c>
      <c r="B46" s="36">
        <v>1.38565</v>
      </c>
      <c r="E46" s="2">
        <f t="shared" si="1"/>
        <v>1.3804609130253329</v>
      </c>
      <c r="F46">
        <f t="shared" si="0"/>
        <v>5.1890869746671342E-3</v>
      </c>
      <c r="H46" s="1"/>
    </row>
    <row r="47" spans="1:8" x14ac:dyDescent="0.25">
      <c r="A47" s="36">
        <v>8.9599999999999999E-4</v>
      </c>
      <c r="B47" s="36">
        <v>1.3723399999999999</v>
      </c>
      <c r="E47" s="2">
        <f t="shared" si="1"/>
        <v>1.379299379147185</v>
      </c>
      <c r="F47">
        <f t="shared" si="0"/>
        <v>-6.9593791471851407E-3</v>
      </c>
      <c r="H47" s="1"/>
    </row>
    <row r="48" spans="1:8" x14ac:dyDescent="0.25">
      <c r="A48" s="36">
        <v>9.6000000000000002E-4</v>
      </c>
      <c r="B48" s="36">
        <v>1.3950400000000001</v>
      </c>
      <c r="E48" s="2">
        <f t="shared" si="1"/>
        <v>1.3782049311022857</v>
      </c>
      <c r="F48">
        <f t="shared" si="0"/>
        <v>1.6835068897714356E-2</v>
      </c>
      <c r="H48" s="1"/>
    </row>
    <row r="49" spans="1:8" x14ac:dyDescent="0.25">
      <c r="A49" s="36">
        <v>1.024E-3</v>
      </c>
      <c r="B49" s="36">
        <v>1.3749400000000001</v>
      </c>
      <c r="E49" s="2">
        <f t="shared" si="1"/>
        <v>1.3771615044538457</v>
      </c>
      <c r="F49">
        <f t="shared" si="0"/>
        <v>-2.221504453845613E-3</v>
      </c>
      <c r="H49" s="1"/>
    </row>
    <row r="50" spans="1:8" x14ac:dyDescent="0.25">
      <c r="A50" s="36">
        <v>1.152E-3</v>
      </c>
      <c r="B50" s="36">
        <v>1.3775999999999999</v>
      </c>
      <c r="E50" s="2">
        <f t="shared" si="1"/>
        <v>1.3751860246066587</v>
      </c>
      <c r="F50">
        <f t="shared" si="0"/>
        <v>2.4139753933412056E-3</v>
      </c>
      <c r="H50" s="1"/>
    </row>
    <row r="51" spans="1:8" x14ac:dyDescent="0.25">
      <c r="A51" s="36">
        <v>1.2800000000000001E-3</v>
      </c>
      <c r="B51" s="36">
        <v>1.3727799999999999</v>
      </c>
      <c r="E51" s="2">
        <f t="shared" si="1"/>
        <v>1.3733172681103762</v>
      </c>
      <c r="F51">
        <f t="shared" si="0"/>
        <v>-5.3726811037635436E-4</v>
      </c>
      <c r="H51" s="1"/>
    </row>
    <row r="52" spans="1:8" x14ac:dyDescent="0.25">
      <c r="A52" s="36">
        <v>1.408E-3</v>
      </c>
      <c r="B52" s="36">
        <v>1.36982</v>
      </c>
      <c r="E52" s="2">
        <f t="shared" si="1"/>
        <v>1.3715273490718798</v>
      </c>
      <c r="F52">
        <f t="shared" si="0"/>
        <v>-1.707349071879749E-3</v>
      </c>
      <c r="H52" s="1"/>
    </row>
    <row r="53" spans="1:8" x14ac:dyDescent="0.25">
      <c r="A53" s="36">
        <v>1.536E-3</v>
      </c>
      <c r="B53" s="36">
        <v>1.3627899999999999</v>
      </c>
      <c r="E53" s="2">
        <f t="shared" si="1"/>
        <v>1.3698018988277476</v>
      </c>
      <c r="F53">
        <f t="shared" si="0"/>
        <v>-7.0118988277476646E-3</v>
      </c>
      <c r="H53" s="1"/>
    </row>
    <row r="54" spans="1:8" x14ac:dyDescent="0.25">
      <c r="A54" s="36">
        <v>1.6639999999999999E-3</v>
      </c>
      <c r="B54" s="36">
        <v>1.3710899999999999</v>
      </c>
      <c r="E54" s="2">
        <f t="shared" si="1"/>
        <v>1.3681331372950305</v>
      </c>
      <c r="F54">
        <f t="shared" si="0"/>
        <v>2.9568627049694207E-3</v>
      </c>
      <c r="H54" s="1"/>
    </row>
    <row r="55" spans="1:8" x14ac:dyDescent="0.25">
      <c r="A55" s="36">
        <v>1.792E-3</v>
      </c>
      <c r="B55" s="36">
        <v>1.3705000000000001</v>
      </c>
      <c r="E55" s="2">
        <f t="shared" si="1"/>
        <v>1.3665165080644788</v>
      </c>
      <c r="F55">
        <f t="shared" si="0"/>
        <v>3.9834919355212772E-3</v>
      </c>
      <c r="H55" s="1"/>
    </row>
    <row r="56" spans="1:8" x14ac:dyDescent="0.25">
      <c r="A56" s="36">
        <v>1.92E-3</v>
      </c>
      <c r="B56" s="36">
        <v>1.3640099999999999</v>
      </c>
      <c r="E56" s="2">
        <f t="shared" si="1"/>
        <v>1.364949043851732</v>
      </c>
      <c r="F56">
        <f t="shared" si="0"/>
        <v>-9.3904385173204652E-4</v>
      </c>
      <c r="H56" s="1"/>
    </row>
    <row r="57" spans="1:8" x14ac:dyDescent="0.25">
      <c r="A57" s="36">
        <v>2.0479999999999999E-3</v>
      </c>
      <c r="B57" s="36">
        <v>1.35501</v>
      </c>
      <c r="E57" s="2">
        <f t="shared" si="1"/>
        <v>1.3634285721271004</v>
      </c>
      <c r="F57">
        <f t="shared" si="0"/>
        <v>-8.4185721271003988E-3</v>
      </c>
      <c r="H57" s="1"/>
    </row>
    <row r="58" spans="1:8" x14ac:dyDescent="0.25">
      <c r="A58" s="36">
        <v>2.3040000000000001E-3</v>
      </c>
      <c r="B58" s="36">
        <v>1.3602399999999999</v>
      </c>
      <c r="E58" s="2">
        <f t="shared" si="1"/>
        <v>1.3605217694477427</v>
      </c>
      <c r="F58">
        <f t="shared" si="0"/>
        <v>-2.8176944774283008E-4</v>
      </c>
      <c r="H58" s="1"/>
    </row>
    <row r="59" spans="1:8" x14ac:dyDescent="0.25">
      <c r="A59" s="36">
        <v>2.5600000000000002E-3</v>
      </c>
      <c r="B59" s="36">
        <v>1.35083</v>
      </c>
      <c r="E59" s="2">
        <f t="shared" si="1"/>
        <v>1.3577841211849082</v>
      </c>
      <c r="F59">
        <f t="shared" si="0"/>
        <v>-6.9541211849082352E-3</v>
      </c>
      <c r="H59" s="1"/>
    </row>
    <row r="60" spans="1:8" x14ac:dyDescent="0.25">
      <c r="A60" s="36">
        <v>2.8159999999999999E-3</v>
      </c>
      <c r="B60" s="36">
        <v>1.3545499999999999</v>
      </c>
      <c r="E60" s="2">
        <f t="shared" si="1"/>
        <v>1.355205163776269</v>
      </c>
      <c r="F60">
        <f t="shared" si="0"/>
        <v>-6.5516377626906319E-4</v>
      </c>
      <c r="H60" s="1"/>
    </row>
    <row r="61" spans="1:8" x14ac:dyDescent="0.25">
      <c r="A61" s="36">
        <v>3.0720000000000001E-3</v>
      </c>
      <c r="B61" s="36">
        <v>1.35266</v>
      </c>
      <c r="E61" s="2">
        <f t="shared" si="1"/>
        <v>1.3527752526645387</v>
      </c>
      <c r="F61">
        <f t="shared" si="0"/>
        <v>-1.1525266453871197E-4</v>
      </c>
      <c r="H61" s="1"/>
    </row>
    <row r="62" spans="1:8" x14ac:dyDescent="0.25">
      <c r="A62" s="36">
        <v>3.3279999999999998E-3</v>
      </c>
      <c r="B62" s="36">
        <v>1.3454299999999999</v>
      </c>
      <c r="E62" s="2">
        <f t="shared" si="1"/>
        <v>1.3504853702384518</v>
      </c>
      <c r="F62">
        <f t="shared" si="0"/>
        <v>-5.0553702384519283E-3</v>
      </c>
      <c r="H62" s="1"/>
    </row>
    <row r="63" spans="1:8" x14ac:dyDescent="0.25">
      <c r="A63" s="36">
        <v>3.5839999999999999E-3</v>
      </c>
      <c r="B63" s="36">
        <v>1.3412599999999999</v>
      </c>
      <c r="E63" s="2">
        <f t="shared" si="1"/>
        <v>1.3483270543287205</v>
      </c>
      <c r="F63">
        <f t="shared" si="0"/>
        <v>-7.0670543287205678E-3</v>
      </c>
      <c r="H63" s="1"/>
    </row>
    <row r="64" spans="1:8" x14ac:dyDescent="0.25">
      <c r="A64" s="36">
        <v>3.8400000000000001E-3</v>
      </c>
      <c r="B64" s="36">
        <v>1.34128</v>
      </c>
      <c r="E64" s="2">
        <f t="shared" si="1"/>
        <v>1.3462923567099609</v>
      </c>
      <c r="F64">
        <f t="shared" si="0"/>
        <v>-5.012356709960919E-3</v>
      </c>
      <c r="H64" s="1"/>
    </row>
    <row r="65" spans="1:8" x14ac:dyDescent="0.25">
      <c r="A65" s="36">
        <v>4.0959999999999998E-3</v>
      </c>
      <c r="B65" s="36">
        <v>1.3394999999999999</v>
      </c>
      <c r="E65" s="2">
        <f t="shared" si="1"/>
        <v>1.3443738101660228</v>
      </c>
      <c r="F65">
        <f t="shared" si="0"/>
        <v>-4.8738101660228406E-3</v>
      </c>
      <c r="H65" s="1"/>
    </row>
    <row r="66" spans="1:8" x14ac:dyDescent="0.25">
      <c r="A66" s="36">
        <v>4.6080000000000001E-3</v>
      </c>
      <c r="B66" s="36">
        <v>1.3393999999999999</v>
      </c>
      <c r="E66" s="2">
        <f t="shared" si="1"/>
        <v>1.3408575315068532</v>
      </c>
      <c r="F66">
        <f t="shared" ref="F66:F129" si="2">B66-E66</f>
        <v>-1.457531506853238E-3</v>
      </c>
      <c r="H66" s="1"/>
    </row>
    <row r="67" spans="1:8" x14ac:dyDescent="0.25">
      <c r="A67" s="36">
        <v>5.1200000000000004E-3</v>
      </c>
      <c r="B67" s="36">
        <v>1.33866</v>
      </c>
      <c r="E67" s="2">
        <f t="shared" ref="E67:E130" si="3">$D$2+1/$D$3*($D$8/(1+A67/$D$4)/SQRT(1+A67/$D$4/$D$5/$D$5)+(1-$D$8)/(1+A67/$D$6)/SQRT(1+A67/$D$6/$D$7/$D$7))*(1+$D$9*EXP(-A67/$D$10)+$D$11*EXP(-A67/$D$12))</f>
        <v>1.3377270293415096</v>
      </c>
      <c r="F67">
        <f t="shared" si="2"/>
        <v>9.3297065849040628E-4</v>
      </c>
      <c r="H67" s="1"/>
    </row>
    <row r="68" spans="1:8" x14ac:dyDescent="0.25">
      <c r="A68" s="36">
        <v>5.6319999999999999E-3</v>
      </c>
      <c r="B68" s="36">
        <v>1.33368</v>
      </c>
      <c r="E68" s="2">
        <f t="shared" si="3"/>
        <v>1.3349371159117362</v>
      </c>
      <c r="F68">
        <f t="shared" si="2"/>
        <v>-1.2571159117362729E-3</v>
      </c>
      <c r="H68" s="1"/>
    </row>
    <row r="69" spans="1:8" x14ac:dyDescent="0.25">
      <c r="A69" s="36">
        <v>6.1440000000000002E-3</v>
      </c>
      <c r="B69" s="36">
        <v>1.33202</v>
      </c>
      <c r="E69" s="2">
        <f t="shared" si="3"/>
        <v>1.3324479010514718</v>
      </c>
      <c r="F69">
        <f t="shared" si="2"/>
        <v>-4.279010514718351E-4</v>
      </c>
      <c r="H69" s="1"/>
    </row>
    <row r="70" spans="1:8" x14ac:dyDescent="0.25">
      <c r="A70" s="36">
        <v>6.6559999999999996E-3</v>
      </c>
      <c r="B70" s="36">
        <v>1.33168</v>
      </c>
      <c r="E70" s="2">
        <f t="shared" si="3"/>
        <v>1.33022417109119</v>
      </c>
      <c r="F70">
        <f t="shared" si="2"/>
        <v>1.4558289088100196E-3</v>
      </c>
      <c r="H70" s="1"/>
    </row>
    <row r="71" spans="1:8" x14ac:dyDescent="0.25">
      <c r="A71" s="36">
        <v>7.1679999999999999E-3</v>
      </c>
      <c r="B71" s="36">
        <v>1.33667</v>
      </c>
      <c r="E71" s="2">
        <f t="shared" si="3"/>
        <v>1.3282348405855746</v>
      </c>
      <c r="F71">
        <f t="shared" si="2"/>
        <v>8.4351594144254083E-3</v>
      </c>
      <c r="H71" s="1"/>
    </row>
    <row r="72" spans="1:8" x14ac:dyDescent="0.25">
      <c r="A72" s="36">
        <v>7.6800000000000002E-3</v>
      </c>
      <c r="B72" s="36">
        <v>1.3290500000000001</v>
      </c>
      <c r="E72" s="2">
        <f t="shared" si="3"/>
        <v>1.3264524683228223</v>
      </c>
      <c r="F72">
        <f t="shared" si="2"/>
        <v>2.5975316771778001E-3</v>
      </c>
      <c r="H72" s="1"/>
    </row>
    <row r="73" spans="1:8" x14ac:dyDescent="0.25">
      <c r="A73" s="36">
        <v>8.1919999999999996E-3</v>
      </c>
      <c r="B73" s="36">
        <v>1.32829</v>
      </c>
      <c r="E73" s="2">
        <f t="shared" si="3"/>
        <v>1.3248528300785438</v>
      </c>
      <c r="F73">
        <f t="shared" si="2"/>
        <v>3.4371699214561513E-3</v>
      </c>
      <c r="H73" s="1"/>
    </row>
    <row r="74" spans="1:8" x14ac:dyDescent="0.25">
      <c r="A74" s="36">
        <v>9.2160000000000002E-3</v>
      </c>
      <c r="B74" s="36">
        <v>1.32901</v>
      </c>
      <c r="E74" s="2">
        <f t="shared" si="3"/>
        <v>1.3221187249755382</v>
      </c>
      <c r="F74">
        <f t="shared" si="2"/>
        <v>6.8912750244618515E-3</v>
      </c>
      <c r="H74" s="1"/>
    </row>
    <row r="75" spans="1:8" x14ac:dyDescent="0.25">
      <c r="A75" s="36">
        <v>1.0240000000000001E-2</v>
      </c>
      <c r="B75" s="36">
        <v>1.3247599999999999</v>
      </c>
      <c r="E75" s="2">
        <f t="shared" si="3"/>
        <v>1.3198898039466405</v>
      </c>
      <c r="F75">
        <f t="shared" si="2"/>
        <v>4.8701960533594768E-3</v>
      </c>
      <c r="H75" s="1"/>
    </row>
    <row r="76" spans="1:8" x14ac:dyDescent="0.25">
      <c r="A76" s="36">
        <v>1.1264E-2</v>
      </c>
      <c r="B76" s="36">
        <v>1.32406</v>
      </c>
      <c r="E76" s="2">
        <f t="shared" si="3"/>
        <v>1.3180548462687793</v>
      </c>
      <c r="F76">
        <f t="shared" si="2"/>
        <v>6.0051537312206804E-3</v>
      </c>
      <c r="H76" s="1"/>
    </row>
    <row r="77" spans="1:8" x14ac:dyDescent="0.25">
      <c r="A77" s="36">
        <v>1.2288E-2</v>
      </c>
      <c r="B77" s="36">
        <v>1.32013</v>
      </c>
      <c r="E77" s="2">
        <f t="shared" si="3"/>
        <v>1.3165271787519666</v>
      </c>
      <c r="F77">
        <f t="shared" si="2"/>
        <v>3.6028212480334609E-3</v>
      </c>
      <c r="H77" s="1"/>
    </row>
    <row r="78" spans="1:8" x14ac:dyDescent="0.25">
      <c r="A78" s="36">
        <v>1.3311999999999999E-2</v>
      </c>
      <c r="B78" s="36">
        <v>1.3211999999999999</v>
      </c>
      <c r="E78" s="2">
        <f t="shared" si="3"/>
        <v>1.3152392574483041</v>
      </c>
      <c r="F78">
        <f t="shared" si="2"/>
        <v>5.9607425516958745E-3</v>
      </c>
      <c r="H78" s="1"/>
    </row>
    <row r="79" spans="1:8" x14ac:dyDescent="0.25">
      <c r="A79" s="36">
        <v>1.4336E-2</v>
      </c>
      <c r="B79" s="36">
        <v>1.3168299999999999</v>
      </c>
      <c r="E79" s="2">
        <f t="shared" si="3"/>
        <v>1.3141384453550973</v>
      </c>
      <c r="F79">
        <f t="shared" si="2"/>
        <v>2.6915546449026717E-3</v>
      </c>
      <c r="H79" s="1"/>
    </row>
    <row r="80" spans="1:8" x14ac:dyDescent="0.25">
      <c r="A80" s="36">
        <v>1.536E-2</v>
      </c>
      <c r="B80" s="36">
        <v>1.31996</v>
      </c>
      <c r="E80" s="2">
        <f t="shared" si="3"/>
        <v>1.3131837221098426</v>
      </c>
      <c r="F80">
        <f t="shared" si="2"/>
        <v>6.776277890157445E-3</v>
      </c>
      <c r="H80" s="1"/>
    </row>
    <row r="81" spans="1:8" x14ac:dyDescent="0.25">
      <c r="A81" s="36">
        <v>1.6383999999999999E-2</v>
      </c>
      <c r="B81" s="36">
        <v>1.3173600000000001</v>
      </c>
      <c r="E81" s="2">
        <f t="shared" si="3"/>
        <v>1.3123431199519748</v>
      </c>
      <c r="F81">
        <f t="shared" si="2"/>
        <v>5.0168800480252518E-3</v>
      </c>
      <c r="H81" s="1"/>
    </row>
    <row r="82" spans="1:8" x14ac:dyDescent="0.25">
      <c r="A82" s="36">
        <v>1.8432E-2</v>
      </c>
      <c r="B82" s="36">
        <v>1.3176000000000001</v>
      </c>
      <c r="E82" s="2">
        <f t="shared" si="3"/>
        <v>1.3109101233896092</v>
      </c>
      <c r="F82">
        <f t="shared" si="2"/>
        <v>6.689876610390888E-3</v>
      </c>
      <c r="H82" s="1"/>
    </row>
    <row r="83" spans="1:8" x14ac:dyDescent="0.25">
      <c r="A83" s="36">
        <v>2.0480000000000002E-2</v>
      </c>
      <c r="B83" s="36">
        <v>1.31572</v>
      </c>
      <c r="E83" s="2">
        <f t="shared" si="3"/>
        <v>1.3096991068424322</v>
      </c>
      <c r="F83">
        <f t="shared" si="2"/>
        <v>6.0208931575678193E-3</v>
      </c>
      <c r="H83" s="1"/>
    </row>
    <row r="84" spans="1:8" x14ac:dyDescent="0.25">
      <c r="A84" s="36">
        <v>2.2527999999999999E-2</v>
      </c>
      <c r="B84" s="36">
        <v>1.3134999999999999</v>
      </c>
      <c r="E84" s="2">
        <f t="shared" si="3"/>
        <v>1.308624820661519</v>
      </c>
      <c r="F84">
        <f t="shared" si="2"/>
        <v>4.8751793384809172E-3</v>
      </c>
      <c r="H84" s="1"/>
    </row>
    <row r="85" spans="1:8" x14ac:dyDescent="0.25">
      <c r="A85" s="36">
        <v>2.4576000000000001E-2</v>
      </c>
      <c r="B85" s="36">
        <v>1.31149</v>
      </c>
      <c r="E85" s="2">
        <f t="shared" si="3"/>
        <v>1.3076354764618339</v>
      </c>
      <c r="F85">
        <f t="shared" si="2"/>
        <v>3.8545235381661769E-3</v>
      </c>
      <c r="H85" s="1"/>
    </row>
    <row r="86" spans="1:8" x14ac:dyDescent="0.25">
      <c r="A86" s="36">
        <v>2.6623999999999998E-2</v>
      </c>
      <c r="B86" s="36">
        <v>1.30741</v>
      </c>
      <c r="E86" s="2">
        <f t="shared" si="3"/>
        <v>1.3066996068418564</v>
      </c>
      <c r="F86">
        <f t="shared" si="2"/>
        <v>7.1039315814358517E-4</v>
      </c>
      <c r="H86" s="1"/>
    </row>
    <row r="87" spans="1:8" x14ac:dyDescent="0.25">
      <c r="A87" s="36">
        <v>2.8672E-2</v>
      </c>
      <c r="B87" s="36">
        <v>1.3068500000000001</v>
      </c>
      <c r="E87" s="2">
        <f t="shared" si="3"/>
        <v>1.3057980854799451</v>
      </c>
      <c r="F87">
        <f t="shared" si="2"/>
        <v>1.0519145200549307E-3</v>
      </c>
      <c r="H87" s="1"/>
    </row>
    <row r="88" spans="1:8" x14ac:dyDescent="0.25">
      <c r="A88" s="36">
        <v>3.0720000000000001E-2</v>
      </c>
      <c r="B88" s="36">
        <v>1.30762</v>
      </c>
      <c r="E88" s="2">
        <f t="shared" si="3"/>
        <v>1.3049192810114629</v>
      </c>
      <c r="F88">
        <f t="shared" si="2"/>
        <v>2.7007189885370764E-3</v>
      </c>
      <c r="H88" s="1"/>
    </row>
    <row r="89" spans="1:8" x14ac:dyDescent="0.25">
      <c r="A89" s="36">
        <v>3.2767999999999999E-2</v>
      </c>
      <c r="B89" s="36">
        <v>1.30691</v>
      </c>
      <c r="E89" s="2">
        <f t="shared" si="3"/>
        <v>1.3040561139967515</v>
      </c>
      <c r="F89">
        <f t="shared" si="2"/>
        <v>2.8538860032485402E-3</v>
      </c>
      <c r="H89" s="1"/>
    </row>
    <row r="90" spans="1:8" x14ac:dyDescent="0.25">
      <c r="A90" s="36">
        <v>3.6864000000000001E-2</v>
      </c>
      <c r="B90" s="36">
        <v>1.3013399999999999</v>
      </c>
      <c r="E90" s="2">
        <f t="shared" si="3"/>
        <v>1.3023611122097405</v>
      </c>
      <c r="F90">
        <f t="shared" si="2"/>
        <v>-1.0211122097405489E-3</v>
      </c>
      <c r="H90" s="1"/>
    </row>
    <row r="91" spans="1:8" x14ac:dyDescent="0.25">
      <c r="A91" s="36">
        <v>4.0960000000000003E-2</v>
      </c>
      <c r="B91" s="36">
        <v>1.30213</v>
      </c>
      <c r="E91" s="2">
        <f t="shared" si="3"/>
        <v>1.3006950152289887</v>
      </c>
      <c r="F91">
        <f t="shared" si="2"/>
        <v>1.4349847710113384E-3</v>
      </c>
      <c r="H91" s="1"/>
    </row>
    <row r="92" spans="1:8" x14ac:dyDescent="0.25">
      <c r="A92" s="36">
        <v>4.5055999999999999E-2</v>
      </c>
      <c r="B92" s="36">
        <v>1.3006599999999999</v>
      </c>
      <c r="E92" s="2">
        <f t="shared" si="3"/>
        <v>1.2990509696403556</v>
      </c>
      <c r="F92">
        <f t="shared" si="2"/>
        <v>1.6090303596443256E-3</v>
      </c>
      <c r="H92" s="1"/>
    </row>
    <row r="93" spans="1:8" x14ac:dyDescent="0.25">
      <c r="A93" s="36">
        <v>4.9152000000000001E-2</v>
      </c>
      <c r="B93" s="36">
        <v>1.2958400000000001</v>
      </c>
      <c r="E93" s="2">
        <f t="shared" si="3"/>
        <v>1.2974262615581091</v>
      </c>
      <c r="F93">
        <f t="shared" si="2"/>
        <v>-1.5862615581090367E-3</v>
      </c>
      <c r="H93" s="1"/>
    </row>
    <row r="94" spans="1:8" x14ac:dyDescent="0.25">
      <c r="A94" s="36">
        <v>5.3247999999999997E-2</v>
      </c>
      <c r="B94" s="36">
        <v>1.29478</v>
      </c>
      <c r="E94" s="2">
        <f t="shared" si="3"/>
        <v>1.2958197080475689</v>
      </c>
      <c r="F94">
        <f t="shared" si="2"/>
        <v>-1.0397080475688103E-3</v>
      </c>
      <c r="H94" s="1"/>
    </row>
    <row r="95" spans="1:8" x14ac:dyDescent="0.25">
      <c r="A95" s="36">
        <v>5.7343999999999999E-2</v>
      </c>
      <c r="B95" s="36">
        <v>1.2928200000000001</v>
      </c>
      <c r="E95" s="2">
        <f t="shared" si="3"/>
        <v>1.2942306948204136</v>
      </c>
      <c r="F95">
        <f t="shared" si="2"/>
        <v>-1.4106948204135605E-3</v>
      </c>
      <c r="H95" s="1"/>
    </row>
    <row r="96" spans="1:8" x14ac:dyDescent="0.25">
      <c r="A96" s="36">
        <v>6.1440000000000002E-2</v>
      </c>
      <c r="B96" s="36">
        <v>1.2914600000000001</v>
      </c>
      <c r="E96" s="2">
        <f t="shared" si="3"/>
        <v>1.2926588211641961</v>
      </c>
      <c r="F96">
        <f t="shared" si="2"/>
        <v>-1.1988211641960067E-3</v>
      </c>
      <c r="H96" s="1"/>
    </row>
    <row r="97" spans="1:8" x14ac:dyDescent="0.25">
      <c r="A97" s="36">
        <v>6.5535999999999997E-2</v>
      </c>
      <c r="B97" s="36">
        <v>1.28881</v>
      </c>
      <c r="E97" s="2">
        <f t="shared" si="3"/>
        <v>1.2911037688618423</v>
      </c>
      <c r="F97">
        <f t="shared" si="2"/>
        <v>-2.2937688618422936E-3</v>
      </c>
      <c r="H97" s="1"/>
    </row>
    <row r="98" spans="1:8" x14ac:dyDescent="0.25">
      <c r="A98" s="36">
        <v>7.3728000000000002E-2</v>
      </c>
      <c r="B98" s="36">
        <v>1.2861499999999999</v>
      </c>
      <c r="E98" s="2">
        <f t="shared" si="3"/>
        <v>1.288043007693255</v>
      </c>
      <c r="F98">
        <f t="shared" si="2"/>
        <v>-1.8930076932550666E-3</v>
      </c>
      <c r="H98" s="1"/>
    </row>
    <row r="99" spans="1:8" x14ac:dyDescent="0.25">
      <c r="A99" s="36">
        <v>8.1920000000000007E-2</v>
      </c>
      <c r="B99" s="36">
        <v>1.2816000000000001</v>
      </c>
      <c r="E99" s="2">
        <f t="shared" si="3"/>
        <v>1.2850462946174597</v>
      </c>
      <c r="F99">
        <f t="shared" si="2"/>
        <v>-3.4462946174595999E-3</v>
      </c>
      <c r="H99" s="1"/>
    </row>
    <row r="100" spans="1:8" x14ac:dyDescent="0.25">
      <c r="A100" s="36">
        <v>9.0111999999999998E-2</v>
      </c>
      <c r="B100" s="36">
        <v>1.27864</v>
      </c>
      <c r="E100" s="2">
        <f t="shared" si="3"/>
        <v>1.282111635390816</v>
      </c>
      <c r="F100">
        <f t="shared" si="2"/>
        <v>-3.4716353908159636E-3</v>
      </c>
      <c r="H100" s="1"/>
    </row>
    <row r="101" spans="1:8" x14ac:dyDescent="0.25">
      <c r="A101" s="36">
        <v>9.8304000000000002E-2</v>
      </c>
      <c r="B101" s="36">
        <v>1.27597</v>
      </c>
      <c r="E101" s="2">
        <f t="shared" si="3"/>
        <v>1.2792371222274153</v>
      </c>
      <c r="F101">
        <f t="shared" si="2"/>
        <v>-3.267122227415209E-3</v>
      </c>
      <c r="H101" s="1"/>
    </row>
    <row r="102" spans="1:8" x14ac:dyDescent="0.25">
      <c r="A102" s="36">
        <v>0.10649599999999999</v>
      </c>
      <c r="B102" s="36">
        <v>1.2719499999999999</v>
      </c>
      <c r="E102" s="2">
        <f t="shared" si="3"/>
        <v>1.27642092536703</v>
      </c>
      <c r="F102">
        <f t="shared" si="2"/>
        <v>-4.4709253670300875E-3</v>
      </c>
      <c r="H102" s="1"/>
    </row>
    <row r="103" spans="1:8" x14ac:dyDescent="0.25">
      <c r="A103" s="36">
        <v>0.114688</v>
      </c>
      <c r="B103" s="36">
        <v>1.2692399999999999</v>
      </c>
      <c r="E103" s="2">
        <f t="shared" si="3"/>
        <v>1.2736612886074095</v>
      </c>
      <c r="F103">
        <f t="shared" si="2"/>
        <v>-4.4212886074095348E-3</v>
      </c>
      <c r="H103" s="1"/>
    </row>
    <row r="104" spans="1:8" x14ac:dyDescent="0.25">
      <c r="A104" s="36">
        <v>0.12288</v>
      </c>
      <c r="B104" s="36">
        <v>1.2666500000000001</v>
      </c>
      <c r="E104" s="2">
        <f t="shared" si="3"/>
        <v>1.2709565255738877</v>
      </c>
      <c r="F104">
        <f t="shared" si="2"/>
        <v>-4.3065255738876651E-3</v>
      </c>
      <c r="H104" s="1"/>
    </row>
    <row r="105" spans="1:8" x14ac:dyDescent="0.25">
      <c r="A105" s="36">
        <v>0.13107199999999999</v>
      </c>
      <c r="B105" s="36">
        <v>1.2634300000000001</v>
      </c>
      <c r="E105" s="2">
        <f t="shared" si="3"/>
        <v>1.2683050162734093</v>
      </c>
      <c r="F105">
        <f t="shared" si="2"/>
        <v>-4.8750162734092495E-3</v>
      </c>
      <c r="H105" s="1"/>
    </row>
    <row r="106" spans="1:8" x14ac:dyDescent="0.25">
      <c r="A106" s="36">
        <v>0.147456</v>
      </c>
      <c r="B106" s="36">
        <v>1.25928</v>
      </c>
      <c r="E106" s="2">
        <f t="shared" si="3"/>
        <v>1.2631555915814592</v>
      </c>
      <c r="F106">
        <f t="shared" si="2"/>
        <v>-3.8755915814592257E-3</v>
      </c>
      <c r="H106" s="1"/>
    </row>
    <row r="107" spans="1:8" x14ac:dyDescent="0.25">
      <c r="A107" s="36">
        <v>0.16384000000000001</v>
      </c>
      <c r="B107" s="36">
        <v>1.2538499999999999</v>
      </c>
      <c r="E107" s="2">
        <f t="shared" si="3"/>
        <v>1.2582012638674769</v>
      </c>
      <c r="F107">
        <f t="shared" si="2"/>
        <v>-4.3512638674769732E-3</v>
      </c>
      <c r="H107" s="1"/>
    </row>
    <row r="108" spans="1:8" x14ac:dyDescent="0.25">
      <c r="A108" s="36">
        <v>0.180224</v>
      </c>
      <c r="B108" s="36">
        <v>1.2485200000000001</v>
      </c>
      <c r="E108" s="2">
        <f t="shared" si="3"/>
        <v>1.25343115596467</v>
      </c>
      <c r="F108">
        <f t="shared" si="2"/>
        <v>-4.9111559646699554E-3</v>
      </c>
      <c r="H108" s="1"/>
    </row>
    <row r="109" spans="1:8" x14ac:dyDescent="0.25">
      <c r="A109" s="36">
        <v>0.196608</v>
      </c>
      <c r="B109" s="36">
        <v>1.2437100000000001</v>
      </c>
      <c r="E109" s="2">
        <f t="shared" si="3"/>
        <v>1.2488351845190135</v>
      </c>
      <c r="F109">
        <f t="shared" si="2"/>
        <v>-5.1251845190134482E-3</v>
      </c>
      <c r="H109" s="1"/>
    </row>
    <row r="110" spans="1:8" x14ac:dyDescent="0.25">
      <c r="A110" s="36">
        <v>0.21299199999999999</v>
      </c>
      <c r="B110" s="36">
        <v>1.2398899999999999</v>
      </c>
      <c r="E110" s="2">
        <f t="shared" si="3"/>
        <v>1.2444039888715031</v>
      </c>
      <c r="F110">
        <f t="shared" si="2"/>
        <v>-4.5139888715031162E-3</v>
      </c>
      <c r="H110" s="1"/>
    </row>
    <row r="111" spans="1:8" x14ac:dyDescent="0.25">
      <c r="A111" s="36">
        <v>0.229376</v>
      </c>
      <c r="B111" s="36">
        <v>1.2352399999999999</v>
      </c>
      <c r="E111" s="2">
        <f t="shared" si="3"/>
        <v>1.2401288674515571</v>
      </c>
      <c r="F111">
        <f t="shared" si="2"/>
        <v>-4.888867451557255E-3</v>
      </c>
      <c r="H111" s="1"/>
    </row>
    <row r="112" spans="1:8" x14ac:dyDescent="0.25">
      <c r="A112" s="36">
        <v>0.24576000000000001</v>
      </c>
      <c r="B112" s="36">
        <v>1.2301599999999999</v>
      </c>
      <c r="E112" s="2">
        <f t="shared" si="3"/>
        <v>1.2360017207720679</v>
      </c>
      <c r="F112">
        <f t="shared" si="2"/>
        <v>-5.8417207720680153E-3</v>
      </c>
      <c r="H112" s="1"/>
    </row>
    <row r="113" spans="1:8" x14ac:dyDescent="0.25">
      <c r="A113" s="36">
        <v>0.26214399999999999</v>
      </c>
      <c r="B113" s="36">
        <v>1.2267300000000001</v>
      </c>
      <c r="E113" s="2">
        <f t="shared" si="3"/>
        <v>1.2320150002403161</v>
      </c>
      <c r="F113">
        <f t="shared" si="2"/>
        <v>-5.2850002403159735E-3</v>
      </c>
      <c r="H113" s="1"/>
    </row>
    <row r="114" spans="1:8" x14ac:dyDescent="0.25">
      <c r="A114" s="36">
        <v>0.29491200000000001</v>
      </c>
      <c r="B114" s="36">
        <v>1.21959</v>
      </c>
      <c r="E114" s="2">
        <f t="shared" si="3"/>
        <v>1.2244351259418009</v>
      </c>
      <c r="F114">
        <f t="shared" si="2"/>
        <v>-4.8451259418009762E-3</v>
      </c>
      <c r="H114" s="1"/>
    </row>
    <row r="115" spans="1:8" x14ac:dyDescent="0.25">
      <c r="A115" s="36">
        <v>0.32768000000000003</v>
      </c>
      <c r="B115" s="36">
        <v>1.2130700000000001</v>
      </c>
      <c r="E115" s="2">
        <f t="shared" si="3"/>
        <v>1.2173382332042957</v>
      </c>
      <c r="F115">
        <f t="shared" si="2"/>
        <v>-4.2682332042955906E-3</v>
      </c>
      <c r="H115" s="1"/>
    </row>
    <row r="116" spans="1:8" x14ac:dyDescent="0.25">
      <c r="A116" s="36">
        <v>0.36044799999999999</v>
      </c>
      <c r="B116" s="36">
        <v>1.20675</v>
      </c>
      <c r="E116" s="2">
        <f t="shared" si="3"/>
        <v>1.2106796074296859</v>
      </c>
      <c r="F116">
        <f t="shared" si="2"/>
        <v>-3.9296074296859551E-3</v>
      </c>
      <c r="H116" s="1"/>
    </row>
    <row r="117" spans="1:8" x14ac:dyDescent="0.25">
      <c r="A117" s="36">
        <v>0.39321600000000001</v>
      </c>
      <c r="B117" s="36">
        <v>1.2001200000000001</v>
      </c>
      <c r="E117" s="2">
        <f t="shared" si="3"/>
        <v>1.2044198882832742</v>
      </c>
      <c r="F117">
        <f t="shared" si="2"/>
        <v>-4.2998882832741003E-3</v>
      </c>
      <c r="H117" s="1"/>
    </row>
    <row r="118" spans="1:8" x14ac:dyDescent="0.25">
      <c r="A118" s="36">
        <v>0.42598399999999997</v>
      </c>
      <c r="B118" s="36">
        <v>1.1943600000000001</v>
      </c>
      <c r="E118" s="2">
        <f t="shared" si="3"/>
        <v>1.1985242915681138</v>
      </c>
      <c r="F118">
        <f t="shared" si="2"/>
        <v>-4.1642915681137094E-3</v>
      </c>
      <c r="H118" s="1"/>
    </row>
    <row r="119" spans="1:8" x14ac:dyDescent="0.25">
      <c r="A119" s="36">
        <v>0.45875199999999999</v>
      </c>
      <c r="B119" s="36">
        <v>1.1894199999999999</v>
      </c>
      <c r="E119" s="2">
        <f t="shared" si="3"/>
        <v>1.1929619629668828</v>
      </c>
      <c r="F119">
        <f t="shared" si="2"/>
        <v>-3.5419629668829167E-3</v>
      </c>
      <c r="H119" s="1"/>
    </row>
    <row r="120" spans="1:8" x14ac:dyDescent="0.25">
      <c r="A120" s="36">
        <v>0.49152000000000001</v>
      </c>
      <c r="B120" s="36">
        <v>1.1848399999999999</v>
      </c>
      <c r="E120" s="2">
        <f t="shared" si="3"/>
        <v>1.1877054382955534</v>
      </c>
      <c r="F120">
        <f t="shared" si="2"/>
        <v>-2.865438295553524E-3</v>
      </c>
      <c r="H120" s="1"/>
    </row>
    <row r="121" spans="1:8" x14ac:dyDescent="0.25">
      <c r="A121" s="36">
        <v>0.52428799999999998</v>
      </c>
      <c r="B121" s="36">
        <v>1.1801999999999999</v>
      </c>
      <c r="E121" s="2">
        <f t="shared" si="3"/>
        <v>1.1827301903360898</v>
      </c>
      <c r="F121">
        <f t="shared" si="2"/>
        <v>-2.5301903360899214E-3</v>
      </c>
      <c r="H121" s="1"/>
    </row>
    <row r="122" spans="1:8" x14ac:dyDescent="0.25">
      <c r="A122" s="36">
        <v>0.58982400000000001</v>
      </c>
      <c r="B122" s="36">
        <v>1.17103</v>
      </c>
      <c r="E122" s="2">
        <f t="shared" si="3"/>
        <v>1.1735378645187284</v>
      </c>
      <c r="F122">
        <f t="shared" si="2"/>
        <v>-2.5078645187284199E-3</v>
      </c>
      <c r="H122" s="1"/>
    </row>
    <row r="123" spans="1:8" x14ac:dyDescent="0.25">
      <c r="A123" s="36">
        <v>0.65536000000000005</v>
      </c>
      <c r="B123" s="36">
        <v>1.16368</v>
      </c>
      <c r="E123" s="2">
        <f t="shared" si="3"/>
        <v>1.1652343538665735</v>
      </c>
      <c r="F123">
        <f t="shared" si="2"/>
        <v>-1.5543538665734324E-3</v>
      </c>
      <c r="H123" s="1"/>
    </row>
    <row r="124" spans="1:8" x14ac:dyDescent="0.25">
      <c r="A124" s="36">
        <v>0.72089599999999998</v>
      </c>
      <c r="B124" s="36">
        <v>1.1569199999999999</v>
      </c>
      <c r="E124" s="2">
        <f t="shared" si="3"/>
        <v>1.1576967898556325</v>
      </c>
      <c r="F124">
        <f t="shared" si="2"/>
        <v>-7.7678985563256475E-4</v>
      </c>
      <c r="H124" s="1"/>
    </row>
    <row r="125" spans="1:8" x14ac:dyDescent="0.25">
      <c r="A125" s="36">
        <v>0.78643200000000002</v>
      </c>
      <c r="B125" s="36">
        <v>1.15035</v>
      </c>
      <c r="E125" s="2">
        <f t="shared" si="3"/>
        <v>1.1508239525169319</v>
      </c>
      <c r="F125">
        <f t="shared" si="2"/>
        <v>-4.739525169319414E-4</v>
      </c>
      <c r="H125" s="1"/>
    </row>
    <row r="126" spans="1:8" x14ac:dyDescent="0.25">
      <c r="A126" s="36">
        <v>0.85196799999999995</v>
      </c>
      <c r="B126" s="36">
        <v>1.14476</v>
      </c>
      <c r="E126" s="2">
        <f t="shared" si="3"/>
        <v>1.144531703700258</v>
      </c>
      <c r="F126">
        <f t="shared" si="2"/>
        <v>2.2829629974197019E-4</v>
      </c>
      <c r="H126" s="1"/>
    </row>
    <row r="127" spans="1:8" x14ac:dyDescent="0.25">
      <c r="A127" s="36">
        <v>0.91750399999999999</v>
      </c>
      <c r="B127" s="36">
        <v>1.1399600000000001</v>
      </c>
      <c r="E127" s="2">
        <f t="shared" si="3"/>
        <v>1.1387495295570449</v>
      </c>
      <c r="F127">
        <f t="shared" si="2"/>
        <v>1.2104704429551916E-3</v>
      </c>
      <c r="H127" s="1"/>
    </row>
    <row r="128" spans="1:8" x14ac:dyDescent="0.25">
      <c r="A128" s="36">
        <v>0.98304000000000002</v>
      </c>
      <c r="B128" s="36">
        <v>1.1350499999999999</v>
      </c>
      <c r="E128" s="2">
        <f t="shared" si="3"/>
        <v>1.1334178901491223</v>
      </c>
      <c r="F128">
        <f t="shared" si="2"/>
        <v>1.6321098508775833E-3</v>
      </c>
      <c r="H128" s="1"/>
    </row>
    <row r="129" spans="1:8" x14ac:dyDescent="0.25">
      <c r="A129" s="36">
        <v>1.048576</v>
      </c>
      <c r="B129" s="36">
        <v>1.13097</v>
      </c>
      <c r="E129" s="2">
        <f t="shared" si="3"/>
        <v>1.1284861645966213</v>
      </c>
      <c r="F129">
        <f t="shared" si="2"/>
        <v>2.4838354033787091E-3</v>
      </c>
      <c r="H129" s="1"/>
    </row>
    <row r="130" spans="1:8" x14ac:dyDescent="0.25">
      <c r="A130" s="36">
        <v>1.179648</v>
      </c>
      <c r="B130" s="36">
        <v>1.1228499999999999</v>
      </c>
      <c r="E130" s="2">
        <f t="shared" si="3"/>
        <v>1.1196552445625174</v>
      </c>
      <c r="F130">
        <f t="shared" ref="F130:F193" si="4">B130-E130</f>
        <v>3.1947554374824882E-3</v>
      </c>
      <c r="H130" s="1"/>
    </row>
    <row r="131" spans="1:8" x14ac:dyDescent="0.25">
      <c r="A131" s="36">
        <v>1.3107200000000001</v>
      </c>
      <c r="B131" s="36">
        <v>1.11541</v>
      </c>
      <c r="E131" s="2">
        <f t="shared" ref="E131:E194" si="5">$D$2+1/$D$3*($D$8/(1+A131/$D$4)/SQRT(1+A131/$D$4/$D$5/$D$5)+(1-$D$8)/(1+A131/$D$6)/SQRT(1+A131/$D$6/$D$7/$D$7))*(1+$D$9*EXP(-A131/$D$10)+$D$11*EXP(-A131/$D$12))</f>
        <v>1.1119768103673415</v>
      </c>
      <c r="F131">
        <f t="shared" si="4"/>
        <v>3.4331896326584843E-3</v>
      </c>
      <c r="H131" s="1"/>
    </row>
    <row r="132" spans="1:8" x14ac:dyDescent="0.25">
      <c r="A132" s="36">
        <v>1.441792</v>
      </c>
      <c r="B132" s="36">
        <v>1.10927</v>
      </c>
      <c r="E132" s="2">
        <f t="shared" si="5"/>
        <v>1.1052393897354129</v>
      </c>
      <c r="F132">
        <f t="shared" si="4"/>
        <v>4.0306102645870645E-3</v>
      </c>
      <c r="H132" s="1"/>
    </row>
    <row r="133" spans="1:8" x14ac:dyDescent="0.25">
      <c r="A133" s="36">
        <v>1.572864</v>
      </c>
      <c r="B133" s="36">
        <v>1.1036300000000001</v>
      </c>
      <c r="E133" s="2">
        <f t="shared" si="5"/>
        <v>1.099280261747996</v>
      </c>
      <c r="F133">
        <f t="shared" si="4"/>
        <v>4.3497382520041317E-3</v>
      </c>
      <c r="H133" s="1"/>
    </row>
    <row r="134" spans="1:8" x14ac:dyDescent="0.25">
      <c r="A134" s="36">
        <v>1.7039359999999999</v>
      </c>
      <c r="B134" s="36">
        <v>1.09863</v>
      </c>
      <c r="E134" s="2">
        <f t="shared" si="5"/>
        <v>1.0939721739697461</v>
      </c>
      <c r="F134">
        <f t="shared" si="4"/>
        <v>4.6578260302538865E-3</v>
      </c>
      <c r="H134" s="1"/>
    </row>
    <row r="135" spans="1:8" x14ac:dyDescent="0.25">
      <c r="A135" s="36">
        <v>1.835008</v>
      </c>
      <c r="B135" s="36">
        <v>1.0946899999999999</v>
      </c>
      <c r="E135" s="2">
        <f t="shared" si="5"/>
        <v>1.0892141780363291</v>
      </c>
      <c r="F135">
        <f t="shared" si="4"/>
        <v>5.4758219636708017E-3</v>
      </c>
      <c r="H135" s="1"/>
    </row>
    <row r="136" spans="1:8" x14ac:dyDescent="0.25">
      <c r="A136" s="36">
        <v>1.96608</v>
      </c>
      <c r="B136" s="36">
        <v>1.09091</v>
      </c>
      <c r="E136" s="2">
        <f t="shared" si="5"/>
        <v>1.0849251671183846</v>
      </c>
      <c r="F136">
        <f t="shared" si="4"/>
        <v>5.9848328816154428E-3</v>
      </c>
      <c r="H136" s="1"/>
    </row>
    <row r="137" spans="1:8" x14ac:dyDescent="0.25">
      <c r="A137" s="36">
        <v>2.0971519999999999</v>
      </c>
      <c r="B137" s="36">
        <v>1.0873600000000001</v>
      </c>
      <c r="E137" s="2">
        <f t="shared" si="5"/>
        <v>1.0810392294513242</v>
      </c>
      <c r="F137">
        <f t="shared" si="4"/>
        <v>6.3207705486758581E-3</v>
      </c>
      <c r="H137" s="1"/>
    </row>
    <row r="138" spans="1:8" x14ac:dyDescent="0.25">
      <c r="A138" s="36">
        <v>2.3592960000000001</v>
      </c>
      <c r="B138" s="36">
        <v>1.0804</v>
      </c>
      <c r="E138" s="2">
        <f t="shared" si="5"/>
        <v>1.0742693805553722</v>
      </c>
      <c r="F138">
        <f t="shared" si="4"/>
        <v>6.1306194446277829E-3</v>
      </c>
      <c r="H138" s="1"/>
    </row>
    <row r="139" spans="1:8" x14ac:dyDescent="0.25">
      <c r="A139" s="36">
        <v>2.6214400000000002</v>
      </c>
      <c r="B139" s="36">
        <v>1.0740499999999999</v>
      </c>
      <c r="E139" s="2">
        <f t="shared" si="5"/>
        <v>1.0685719760299328</v>
      </c>
      <c r="F139">
        <f t="shared" si="4"/>
        <v>5.4780239700671363E-3</v>
      </c>
      <c r="H139" s="1"/>
    </row>
    <row r="140" spans="1:8" x14ac:dyDescent="0.25">
      <c r="A140" s="36">
        <v>2.8835839999999999</v>
      </c>
      <c r="B140" s="36">
        <v>1.06932</v>
      </c>
      <c r="E140" s="2">
        <f t="shared" si="5"/>
        <v>1.0637116625553928</v>
      </c>
      <c r="F140">
        <f t="shared" si="4"/>
        <v>5.6083374446072032E-3</v>
      </c>
      <c r="H140" s="1"/>
    </row>
    <row r="141" spans="1:8" x14ac:dyDescent="0.25">
      <c r="A141" s="36">
        <v>3.1457280000000001</v>
      </c>
      <c r="B141" s="36">
        <v>1.06528</v>
      </c>
      <c r="E141" s="2">
        <f t="shared" si="5"/>
        <v>1.0595172377669062</v>
      </c>
      <c r="F141">
        <f t="shared" si="4"/>
        <v>5.7627622330937989E-3</v>
      </c>
      <c r="H141" s="1"/>
    </row>
    <row r="142" spans="1:8" x14ac:dyDescent="0.25">
      <c r="A142" s="36">
        <v>3.4078719999999998</v>
      </c>
      <c r="B142" s="36">
        <v>1.0614600000000001</v>
      </c>
      <c r="E142" s="2">
        <f t="shared" si="5"/>
        <v>1.0558611881174034</v>
      </c>
      <c r="F142">
        <f t="shared" si="4"/>
        <v>5.5988118825966993E-3</v>
      </c>
      <c r="H142" s="1"/>
    </row>
    <row r="143" spans="1:8" x14ac:dyDescent="0.25">
      <c r="A143" s="36">
        <v>3.6700159999999999</v>
      </c>
      <c r="B143" s="36">
        <v>1.0581400000000001</v>
      </c>
      <c r="E143" s="2">
        <f t="shared" si="5"/>
        <v>1.0526465891645032</v>
      </c>
      <c r="F143">
        <f t="shared" si="4"/>
        <v>5.4934108354969258E-3</v>
      </c>
      <c r="H143" s="1"/>
    </row>
    <row r="144" spans="1:8" x14ac:dyDescent="0.25">
      <c r="A144" s="36">
        <v>3.9321600000000001</v>
      </c>
      <c r="B144" s="36">
        <v>1.0551699999999999</v>
      </c>
      <c r="E144" s="2">
        <f t="shared" si="5"/>
        <v>1.0497984525701674</v>
      </c>
      <c r="F144">
        <f t="shared" si="4"/>
        <v>5.3715474298325905E-3</v>
      </c>
      <c r="H144" s="1"/>
    </row>
    <row r="145" spans="1:8" x14ac:dyDescent="0.25">
      <c r="A145" s="36">
        <v>4.1943039999999998</v>
      </c>
      <c r="B145" s="36">
        <v>1.0524100000000001</v>
      </c>
      <c r="E145" s="2">
        <f t="shared" si="5"/>
        <v>1.0472578530940697</v>
      </c>
      <c r="F145">
        <f t="shared" si="4"/>
        <v>5.1521469059303548E-3</v>
      </c>
      <c r="H145" s="1"/>
    </row>
    <row r="146" spans="1:8" x14ac:dyDescent="0.25">
      <c r="A146" s="36">
        <v>4.7185920000000001</v>
      </c>
      <c r="B146" s="36">
        <v>1.04779</v>
      </c>
      <c r="E146" s="2">
        <f t="shared" si="5"/>
        <v>1.0429205723104722</v>
      </c>
      <c r="F146">
        <f t="shared" si="4"/>
        <v>4.8694276895278055E-3</v>
      </c>
      <c r="H146" s="1"/>
    </row>
    <row r="147" spans="1:8" x14ac:dyDescent="0.25">
      <c r="A147" s="36">
        <v>5.2428800000000004</v>
      </c>
      <c r="B147" s="36">
        <v>1.04372</v>
      </c>
      <c r="E147" s="2">
        <f t="shared" si="5"/>
        <v>1.0393561783984788</v>
      </c>
      <c r="F147">
        <f t="shared" si="4"/>
        <v>4.3638216015211562E-3</v>
      </c>
      <c r="H147" s="1"/>
    </row>
    <row r="148" spans="1:8" x14ac:dyDescent="0.25">
      <c r="A148" s="36">
        <v>5.7671679999999999</v>
      </c>
      <c r="B148" s="36">
        <v>1.0409200000000001</v>
      </c>
      <c r="E148" s="2">
        <f t="shared" si="5"/>
        <v>1.0363764359439032</v>
      </c>
      <c r="F148">
        <f t="shared" si="4"/>
        <v>4.5435640560969048E-3</v>
      </c>
      <c r="H148" s="1"/>
    </row>
    <row r="149" spans="1:8" x14ac:dyDescent="0.25">
      <c r="A149" s="36">
        <v>6.2914560000000002</v>
      </c>
      <c r="B149" s="36">
        <v>1.03807</v>
      </c>
      <c r="E149" s="2">
        <f t="shared" si="5"/>
        <v>1.0338495776767564</v>
      </c>
      <c r="F149">
        <f t="shared" si="4"/>
        <v>4.2204223232436E-3</v>
      </c>
      <c r="H149" s="1"/>
    </row>
    <row r="150" spans="1:8" x14ac:dyDescent="0.25">
      <c r="A150" s="36">
        <v>6.8157439999999996</v>
      </c>
      <c r="B150" s="36">
        <v>1.03444</v>
      </c>
      <c r="E150" s="2">
        <f t="shared" si="5"/>
        <v>1.0316806112925061</v>
      </c>
      <c r="F150">
        <f t="shared" si="4"/>
        <v>2.7593887074939261E-3</v>
      </c>
      <c r="H150" s="1"/>
    </row>
    <row r="151" spans="1:8" x14ac:dyDescent="0.25">
      <c r="A151" s="36">
        <v>7.3400319999999999</v>
      </c>
      <c r="B151" s="36">
        <v>1.03098</v>
      </c>
      <c r="E151" s="2">
        <f t="shared" si="5"/>
        <v>1.0297993301473736</v>
      </c>
      <c r="F151">
        <f t="shared" si="4"/>
        <v>1.180669852626437E-3</v>
      </c>
      <c r="H151" s="1"/>
    </row>
    <row r="152" spans="1:8" x14ac:dyDescent="0.25">
      <c r="A152" s="36">
        <v>7.8643200000000002</v>
      </c>
      <c r="B152" s="36">
        <v>1.02847</v>
      </c>
      <c r="E152" s="2">
        <f t="shared" si="5"/>
        <v>1.0281527270618553</v>
      </c>
      <c r="F152">
        <f t="shared" si="4"/>
        <v>3.1727293814465263E-4</v>
      </c>
      <c r="H152" s="1"/>
    </row>
    <row r="153" spans="1:8" x14ac:dyDescent="0.25">
      <c r="A153" s="36">
        <v>8.3886079999999996</v>
      </c>
      <c r="B153" s="36">
        <v>1.02698</v>
      </c>
      <c r="E153" s="2">
        <f t="shared" si="5"/>
        <v>1.0267000335051375</v>
      </c>
      <c r="F153">
        <f t="shared" si="4"/>
        <v>2.7996649486250469E-4</v>
      </c>
      <c r="H153" s="1"/>
    </row>
    <row r="154" spans="1:8" x14ac:dyDescent="0.25">
      <c r="A154" s="36">
        <v>9.4371840000000002</v>
      </c>
      <c r="B154" s="36">
        <v>1.0251300000000001</v>
      </c>
      <c r="E154" s="2">
        <f t="shared" si="5"/>
        <v>1.024255504030374</v>
      </c>
      <c r="F154">
        <f t="shared" si="4"/>
        <v>8.7449596962607679E-4</v>
      </c>
      <c r="H154" s="1"/>
    </row>
    <row r="155" spans="1:8" x14ac:dyDescent="0.25">
      <c r="A155" s="36">
        <v>10.485760000000001</v>
      </c>
      <c r="B155" s="36">
        <v>1.02315</v>
      </c>
      <c r="E155" s="2">
        <f t="shared" si="5"/>
        <v>1.0222807096384283</v>
      </c>
      <c r="F155">
        <f t="shared" si="4"/>
        <v>8.6929036157168404E-4</v>
      </c>
      <c r="H155" s="1"/>
    </row>
    <row r="156" spans="1:8" x14ac:dyDescent="0.25">
      <c r="A156" s="36">
        <v>11.534336</v>
      </c>
      <c r="B156" s="36">
        <v>1.02163</v>
      </c>
      <c r="E156" s="2">
        <f t="shared" si="5"/>
        <v>1.0206541300526777</v>
      </c>
      <c r="F156">
        <f t="shared" si="4"/>
        <v>9.7586994732234977E-4</v>
      </c>
      <c r="H156" s="1"/>
    </row>
    <row r="157" spans="1:8" x14ac:dyDescent="0.25">
      <c r="A157" s="36">
        <v>12.582912</v>
      </c>
      <c r="B157" s="36">
        <v>1.01973</v>
      </c>
      <c r="E157" s="2">
        <f t="shared" si="5"/>
        <v>1.0192926810040852</v>
      </c>
      <c r="F157">
        <f t="shared" si="4"/>
        <v>4.3731899591481493E-4</v>
      </c>
      <c r="H157" s="1"/>
    </row>
    <row r="158" spans="1:8" x14ac:dyDescent="0.25">
      <c r="A158" s="36">
        <v>13.631487999999999</v>
      </c>
      <c r="B158" s="36">
        <v>1.01745</v>
      </c>
      <c r="E158" s="2">
        <f t="shared" si="5"/>
        <v>1.0181376468725849</v>
      </c>
      <c r="F158">
        <f t="shared" si="4"/>
        <v>-6.8764687258493495E-4</v>
      </c>
      <c r="H158" s="1"/>
    </row>
    <row r="159" spans="1:8" x14ac:dyDescent="0.25">
      <c r="A159" s="36">
        <v>14.680064</v>
      </c>
      <c r="B159" s="36">
        <v>1.01542</v>
      </c>
      <c r="E159" s="2">
        <f t="shared" si="5"/>
        <v>1.017146368324902</v>
      </c>
      <c r="F159">
        <f t="shared" si="4"/>
        <v>-1.7263683249020279E-3</v>
      </c>
      <c r="H159" s="1"/>
    </row>
    <row r="160" spans="1:8" x14ac:dyDescent="0.25">
      <c r="A160" s="36">
        <v>15.72864</v>
      </c>
      <c r="B160" s="36">
        <v>1.0144299999999999</v>
      </c>
      <c r="E160" s="2">
        <f t="shared" si="5"/>
        <v>1.0162871137703595</v>
      </c>
      <c r="F160">
        <f t="shared" si="4"/>
        <v>-1.8571137703595753E-3</v>
      </c>
      <c r="H160" s="1"/>
    </row>
    <row r="161" spans="1:8" x14ac:dyDescent="0.25">
      <c r="A161" s="36">
        <v>16.777215999999999</v>
      </c>
      <c r="B161" s="36">
        <v>1.01397</v>
      </c>
      <c r="E161" s="2">
        <f t="shared" si="5"/>
        <v>1.0155357974854045</v>
      </c>
      <c r="F161">
        <f t="shared" si="4"/>
        <v>-1.5657974854044188E-3</v>
      </c>
      <c r="H161" s="1"/>
    </row>
    <row r="162" spans="1:8" x14ac:dyDescent="0.25">
      <c r="A162" s="36">
        <v>18.874368</v>
      </c>
      <c r="B162" s="36">
        <v>1.0125999999999999</v>
      </c>
      <c r="E162" s="2">
        <f t="shared" si="5"/>
        <v>1.0142865615384398</v>
      </c>
      <c r="F162">
        <f t="shared" si="4"/>
        <v>-1.6865615384398236E-3</v>
      </c>
      <c r="H162" s="1"/>
    </row>
    <row r="163" spans="1:8" x14ac:dyDescent="0.25">
      <c r="A163" s="36">
        <v>20.971520000000002</v>
      </c>
      <c r="B163" s="36">
        <v>1.01241</v>
      </c>
      <c r="E163" s="2">
        <f t="shared" si="5"/>
        <v>1.0132920817949083</v>
      </c>
      <c r="F163">
        <f t="shared" si="4"/>
        <v>-8.8208179490822936E-4</v>
      </c>
      <c r="H163" s="1"/>
    </row>
    <row r="164" spans="1:8" x14ac:dyDescent="0.25">
      <c r="A164" s="36">
        <v>23.068671999999999</v>
      </c>
      <c r="B164" s="36">
        <v>1.0118799999999999</v>
      </c>
      <c r="E164" s="2">
        <f t="shared" si="5"/>
        <v>1.0124836282819505</v>
      </c>
      <c r="F164">
        <f t="shared" si="4"/>
        <v>-6.036282819505967E-4</v>
      </c>
      <c r="H164" s="1"/>
    </row>
    <row r="165" spans="1:8" x14ac:dyDescent="0.25">
      <c r="A165" s="36">
        <v>25.165824000000001</v>
      </c>
      <c r="B165" s="36">
        <v>1.0114000000000001</v>
      </c>
      <c r="E165" s="2">
        <f t="shared" si="5"/>
        <v>1.0118149359150668</v>
      </c>
      <c r="F165">
        <f t="shared" si="4"/>
        <v>-4.1493591506669425E-4</v>
      </c>
      <c r="H165" s="1"/>
    </row>
    <row r="166" spans="1:8" x14ac:dyDescent="0.25">
      <c r="A166" s="36">
        <v>27.262975999999998</v>
      </c>
      <c r="B166" s="36">
        <v>1.01023</v>
      </c>
      <c r="E166" s="2">
        <f t="shared" si="5"/>
        <v>1.0112537512667705</v>
      </c>
      <c r="F166">
        <f t="shared" si="4"/>
        <v>-1.0237512667705673E-3</v>
      </c>
      <c r="H166" s="1"/>
    </row>
    <row r="167" spans="1:8" x14ac:dyDescent="0.25">
      <c r="A167" s="36">
        <v>29.360128</v>
      </c>
      <c r="B167" s="36">
        <v>1.00878</v>
      </c>
      <c r="E167" s="2">
        <f t="shared" si="5"/>
        <v>1.0107769235011601</v>
      </c>
      <c r="F167">
        <f t="shared" si="4"/>
        <v>-1.9969235011600972E-3</v>
      </c>
      <c r="H167" s="1"/>
    </row>
    <row r="168" spans="1:8" x14ac:dyDescent="0.25">
      <c r="A168" s="36">
        <v>31.457280000000001</v>
      </c>
      <c r="B168" s="36">
        <v>1.0088200000000001</v>
      </c>
      <c r="E168" s="2">
        <f t="shared" si="5"/>
        <v>1.0103674202683919</v>
      </c>
      <c r="F168">
        <f t="shared" si="4"/>
        <v>-1.5474202683918303E-3</v>
      </c>
      <c r="H168" s="1"/>
    </row>
    <row r="169" spans="1:8" x14ac:dyDescent="0.25">
      <c r="A169" s="36">
        <v>33.554431999999998</v>
      </c>
      <c r="B169" s="36">
        <v>1.00912</v>
      </c>
      <c r="E169" s="2">
        <f t="shared" si="5"/>
        <v>1.0100124427179475</v>
      </c>
      <c r="F169">
        <f t="shared" si="4"/>
        <v>-8.9244271794752805E-4</v>
      </c>
      <c r="H169" s="1"/>
    </row>
    <row r="170" spans="1:8" x14ac:dyDescent="0.25">
      <c r="A170" s="36">
        <v>37.748736000000001</v>
      </c>
      <c r="B170" s="36">
        <v>1.00986</v>
      </c>
      <c r="E170" s="2">
        <f t="shared" si="5"/>
        <v>1.0094290588985591</v>
      </c>
      <c r="F170">
        <f t="shared" si="4"/>
        <v>4.3094110144092923E-4</v>
      </c>
      <c r="H170" s="1"/>
    </row>
    <row r="171" spans="1:8" x14ac:dyDescent="0.25">
      <c r="A171" s="36">
        <v>41.943040000000003</v>
      </c>
      <c r="B171" s="36">
        <v>1.00817</v>
      </c>
      <c r="E171" s="2">
        <f t="shared" si="5"/>
        <v>1.0089712884168913</v>
      </c>
      <c r="F171">
        <f t="shared" si="4"/>
        <v>-8.0128841689131036E-4</v>
      </c>
      <c r="H171" s="1"/>
    </row>
    <row r="172" spans="1:8" x14ac:dyDescent="0.25">
      <c r="A172" s="36">
        <v>46.137343999999999</v>
      </c>
      <c r="B172" s="36">
        <v>1.0063800000000001</v>
      </c>
      <c r="E172" s="2">
        <f t="shared" si="5"/>
        <v>1.0086039110654357</v>
      </c>
      <c r="F172">
        <f t="shared" si="4"/>
        <v>-2.2239110654356242E-3</v>
      </c>
      <c r="H172" s="1"/>
    </row>
    <row r="173" spans="1:8" x14ac:dyDescent="0.25">
      <c r="A173" s="36">
        <v>50.331648000000001</v>
      </c>
      <c r="B173" s="36">
        <v>1.0064299999999999</v>
      </c>
      <c r="E173" s="2">
        <f t="shared" si="5"/>
        <v>1.0083035523117625</v>
      </c>
      <c r="F173">
        <f t="shared" si="4"/>
        <v>-1.8735523117625608E-3</v>
      </c>
      <c r="H173" s="1"/>
    </row>
    <row r="174" spans="1:8" x14ac:dyDescent="0.25">
      <c r="A174" s="36">
        <v>54.525951999999997</v>
      </c>
      <c r="B174" s="36">
        <v>1.00536</v>
      </c>
      <c r="E174" s="2">
        <f t="shared" si="5"/>
        <v>1.0080541259172258</v>
      </c>
      <c r="F174">
        <f t="shared" si="4"/>
        <v>-2.6941259172257315E-3</v>
      </c>
      <c r="H174" s="1"/>
    </row>
    <row r="175" spans="1:8" x14ac:dyDescent="0.25">
      <c r="A175" s="36">
        <v>58.720255999999999</v>
      </c>
      <c r="B175" s="36">
        <v>1.00526</v>
      </c>
      <c r="E175" s="2">
        <f t="shared" si="5"/>
        <v>1.007844221994795</v>
      </c>
      <c r="F175">
        <f t="shared" si="4"/>
        <v>-2.5842219947949108E-3</v>
      </c>
      <c r="H175" s="1"/>
    </row>
    <row r="176" spans="1:8" x14ac:dyDescent="0.25">
      <c r="A176" s="36">
        <v>62.914560000000002</v>
      </c>
      <c r="B176" s="36">
        <v>1.00593</v>
      </c>
      <c r="E176" s="2">
        <f t="shared" si="5"/>
        <v>1.0076655381569239</v>
      </c>
      <c r="F176">
        <f t="shared" si="4"/>
        <v>-1.7355381569239547E-3</v>
      </c>
      <c r="H176" s="1"/>
    </row>
    <row r="177" spans="1:8" x14ac:dyDescent="0.25">
      <c r="A177" s="36">
        <v>67.108863999999997</v>
      </c>
      <c r="B177" s="36">
        <v>1.00475</v>
      </c>
      <c r="E177" s="2">
        <f t="shared" si="5"/>
        <v>1.0075118993644072</v>
      </c>
      <c r="F177">
        <f t="shared" si="4"/>
        <v>-2.7618993644071832E-3</v>
      </c>
      <c r="H177" s="1"/>
    </row>
    <row r="178" spans="1:8" x14ac:dyDescent="0.25">
      <c r="A178" s="36">
        <v>75.497472000000002</v>
      </c>
      <c r="B178" s="36">
        <v>1.00545</v>
      </c>
      <c r="E178" s="2">
        <f t="shared" si="5"/>
        <v>1.0072621062074574</v>
      </c>
      <c r="F178">
        <f t="shared" si="4"/>
        <v>-1.8121062074574201E-3</v>
      </c>
      <c r="H178" s="1"/>
    </row>
    <row r="179" spans="1:8" x14ac:dyDescent="0.25">
      <c r="A179" s="36">
        <v>83.886080000000007</v>
      </c>
      <c r="B179" s="36">
        <v>1.00525</v>
      </c>
      <c r="E179" s="2">
        <f t="shared" si="5"/>
        <v>1.0070686347837936</v>
      </c>
      <c r="F179">
        <f t="shared" si="4"/>
        <v>-1.8186347837936268E-3</v>
      </c>
      <c r="H179" s="1"/>
    </row>
    <row r="180" spans="1:8" x14ac:dyDescent="0.25">
      <c r="A180" s="36">
        <v>92.274687999999998</v>
      </c>
      <c r="B180" s="36">
        <v>1.00461</v>
      </c>
      <c r="E180" s="2">
        <f t="shared" si="5"/>
        <v>1.0069151189138879</v>
      </c>
      <c r="F180">
        <f t="shared" si="4"/>
        <v>-2.3051189138878492E-3</v>
      </c>
      <c r="H180" s="1"/>
    </row>
    <row r="181" spans="1:8" x14ac:dyDescent="0.25">
      <c r="A181" s="36">
        <v>100.663296</v>
      </c>
      <c r="B181" s="36">
        <v>1.0043800000000001</v>
      </c>
      <c r="E181" s="2">
        <f t="shared" si="5"/>
        <v>1.006790854327311</v>
      </c>
      <c r="F181">
        <f t="shared" si="4"/>
        <v>-2.4108543273109184E-3</v>
      </c>
      <c r="H181" s="1"/>
    </row>
    <row r="182" spans="1:8" x14ac:dyDescent="0.25">
      <c r="A182" s="36">
        <v>109.05190399999999</v>
      </c>
      <c r="B182" s="36">
        <v>1.00332</v>
      </c>
      <c r="E182" s="2">
        <f t="shared" si="5"/>
        <v>1.0066885704182162</v>
      </c>
      <c r="F182">
        <f t="shared" si="4"/>
        <v>-3.3685704182162546E-3</v>
      </c>
      <c r="H182" s="1"/>
    </row>
    <row r="183" spans="1:8" x14ac:dyDescent="0.25">
      <c r="A183" s="36">
        <v>117.440512</v>
      </c>
      <c r="B183" s="36">
        <v>1.00268</v>
      </c>
      <c r="E183" s="2">
        <f t="shared" si="5"/>
        <v>1.0066031709864112</v>
      </c>
      <c r="F183">
        <f t="shared" si="4"/>
        <v>-3.9231709864111508E-3</v>
      </c>
      <c r="H183" s="1"/>
    </row>
    <row r="184" spans="1:8" x14ac:dyDescent="0.25">
      <c r="A184" s="36">
        <v>125.82912</v>
      </c>
      <c r="B184" s="36">
        <v>1.00291</v>
      </c>
      <c r="E184" s="2">
        <f t="shared" si="5"/>
        <v>1.006530987537636</v>
      </c>
      <c r="F184">
        <f t="shared" si="4"/>
        <v>-3.6209875376360667E-3</v>
      </c>
      <c r="H184" s="1"/>
    </row>
    <row r="185" spans="1:8" x14ac:dyDescent="0.25">
      <c r="A185" s="36">
        <v>134.21772799999999</v>
      </c>
      <c r="B185" s="36">
        <v>1.00393</v>
      </c>
      <c r="E185" s="2">
        <f t="shared" si="5"/>
        <v>1.0064693182742728</v>
      </c>
      <c r="F185">
        <f t="shared" si="4"/>
        <v>-2.5393182742727838E-3</v>
      </c>
      <c r="H185" s="1"/>
    </row>
    <row r="186" spans="1:8" x14ac:dyDescent="0.25">
      <c r="A186" s="36">
        <v>150.994944</v>
      </c>
      <c r="B186" s="36">
        <v>1.0030399999999999</v>
      </c>
      <c r="E186" s="2">
        <f t="shared" si="5"/>
        <v>1.0063698817077127</v>
      </c>
      <c r="F186">
        <f t="shared" si="4"/>
        <v>-3.3298817077127563E-3</v>
      </c>
      <c r="H186" s="1"/>
    </row>
    <row r="187" spans="1:8" x14ac:dyDescent="0.25">
      <c r="A187" s="36">
        <v>167.77216000000001</v>
      </c>
      <c r="B187" s="36">
        <v>1.00353</v>
      </c>
      <c r="E187" s="2">
        <f t="shared" si="5"/>
        <v>1.0062936162313276</v>
      </c>
      <c r="F187">
        <f t="shared" si="4"/>
        <v>-2.7636162313275925E-3</v>
      </c>
      <c r="H187" s="1"/>
    </row>
    <row r="188" spans="1:8" x14ac:dyDescent="0.25">
      <c r="A188" s="36">
        <v>184.549376</v>
      </c>
      <c r="B188" s="36">
        <v>1.00396</v>
      </c>
      <c r="E188" s="2">
        <f t="shared" si="5"/>
        <v>1.006233601008274</v>
      </c>
      <c r="F188">
        <f t="shared" si="4"/>
        <v>-2.2736010082740066E-3</v>
      </c>
      <c r="H188" s="1"/>
    </row>
    <row r="189" spans="1:8" x14ac:dyDescent="0.25">
      <c r="A189" s="36">
        <v>201.32659200000001</v>
      </c>
      <c r="B189" s="36">
        <v>1.00275</v>
      </c>
      <c r="E189" s="2">
        <f t="shared" si="5"/>
        <v>1.0061853657705717</v>
      </c>
      <c r="F189">
        <f t="shared" si="4"/>
        <v>-3.4353657705716856E-3</v>
      </c>
      <c r="H189" s="1"/>
    </row>
    <row r="190" spans="1:8" x14ac:dyDescent="0.25">
      <c r="A190" s="36">
        <v>218.10380799999999</v>
      </c>
      <c r="B190" s="36">
        <v>1.0036499999999999</v>
      </c>
      <c r="E190" s="2">
        <f t="shared" si="5"/>
        <v>1.006145907049891</v>
      </c>
      <c r="F190">
        <f t="shared" si="4"/>
        <v>-2.4959070498911107E-3</v>
      </c>
      <c r="H190" s="1"/>
    </row>
    <row r="191" spans="1:8" x14ac:dyDescent="0.25">
      <c r="A191" s="36">
        <v>234.881024</v>
      </c>
      <c r="B191" s="36">
        <v>1.0036499999999999</v>
      </c>
      <c r="E191" s="2">
        <f t="shared" si="5"/>
        <v>1.0061131396144689</v>
      </c>
      <c r="F191">
        <f t="shared" si="4"/>
        <v>-2.4631396144689788E-3</v>
      </c>
      <c r="H191" s="1"/>
    </row>
    <row r="192" spans="1:8" x14ac:dyDescent="0.25">
      <c r="A192" s="36">
        <v>251.65824000000001</v>
      </c>
      <c r="B192" s="36">
        <v>1.0025900000000001</v>
      </c>
      <c r="E192" s="2">
        <f t="shared" si="5"/>
        <v>1.0060855750293536</v>
      </c>
      <c r="F192">
        <f t="shared" si="4"/>
        <v>-3.4955750293534926E-3</v>
      </c>
      <c r="H192" s="1"/>
    </row>
    <row r="193" spans="1:8" x14ac:dyDescent="0.25">
      <c r="A193" s="36">
        <v>268.43545599999999</v>
      </c>
      <c r="B193" s="36">
        <v>1.0026600000000001</v>
      </c>
      <c r="E193" s="2">
        <f t="shared" si="5"/>
        <v>1.0060621252936779</v>
      </c>
      <c r="F193">
        <f t="shared" si="4"/>
        <v>-3.4021252936777824E-3</v>
      </c>
      <c r="H193" s="1"/>
    </row>
    <row r="194" spans="1:8" x14ac:dyDescent="0.25">
      <c r="A194" s="36">
        <v>301.98988800000001</v>
      </c>
      <c r="B194" s="36">
        <v>1.0023</v>
      </c>
      <c r="E194" s="2">
        <f t="shared" si="5"/>
        <v>1.0060245179705132</v>
      </c>
      <c r="F194">
        <f t="shared" ref="F194:F238" si="6">B194-E194</f>
        <v>-3.7245179705132081E-3</v>
      </c>
      <c r="H194" s="1"/>
    </row>
    <row r="195" spans="1:8" x14ac:dyDescent="0.25">
      <c r="A195" s="36">
        <v>335.54432000000003</v>
      </c>
      <c r="B195" s="36">
        <v>1.0032099999999999</v>
      </c>
      <c r="E195" s="2">
        <f t="shared" ref="E195:E238" si="7">$D$2+1/$D$3*($D$8/(1+A195/$D$4)/SQRT(1+A195/$D$4/$D$5/$D$5)+(1-$D$8)/(1+A195/$D$6)/SQRT(1+A195/$D$6/$D$7/$D$7))*(1+$D$9*EXP(-A195/$D$10)+$D$11*EXP(-A195/$D$12))</f>
        <v>1.005995853904385</v>
      </c>
      <c r="F195">
        <f t="shared" si="6"/>
        <v>-2.7858539043850161E-3</v>
      </c>
      <c r="H195" s="1"/>
    </row>
    <row r="196" spans="1:8" x14ac:dyDescent="0.25">
      <c r="A196" s="36">
        <v>369.09875199999999</v>
      </c>
      <c r="B196" s="36">
        <v>1.00288</v>
      </c>
      <c r="E196" s="2">
        <f t="shared" si="7"/>
        <v>1.0059734141892949</v>
      </c>
      <c r="F196">
        <f t="shared" si="6"/>
        <v>-3.0934141892948741E-3</v>
      </c>
      <c r="H196" s="1"/>
    </row>
    <row r="197" spans="1:8" x14ac:dyDescent="0.25">
      <c r="A197" s="36">
        <v>402.65318400000001</v>
      </c>
      <c r="B197" s="36">
        <v>1.00169</v>
      </c>
      <c r="E197" s="2">
        <f t="shared" si="7"/>
        <v>1.0059554577639542</v>
      </c>
      <c r="F197">
        <f t="shared" si="6"/>
        <v>-4.2654577639542612E-3</v>
      </c>
      <c r="H197" s="1"/>
    </row>
    <row r="198" spans="1:8" x14ac:dyDescent="0.25">
      <c r="A198" s="36">
        <v>436.20761599999997</v>
      </c>
      <c r="B198" s="36">
        <v>1.00302</v>
      </c>
      <c r="E198" s="2">
        <f t="shared" si="7"/>
        <v>1.0059408233881013</v>
      </c>
      <c r="F198">
        <f t="shared" si="6"/>
        <v>-2.9208233881012902E-3</v>
      </c>
      <c r="H198" s="1"/>
    </row>
    <row r="199" spans="1:8" x14ac:dyDescent="0.25">
      <c r="A199" s="36">
        <v>469.76204799999999</v>
      </c>
      <c r="B199" s="36">
        <v>1.00298</v>
      </c>
      <c r="E199" s="2">
        <f t="shared" si="7"/>
        <v>1.005928709895759</v>
      </c>
      <c r="F199">
        <f t="shared" si="6"/>
        <v>-2.9487098957590163E-3</v>
      </c>
      <c r="H199" s="1"/>
    </row>
    <row r="200" spans="1:8" x14ac:dyDescent="0.25">
      <c r="A200" s="36">
        <v>503.31648000000001</v>
      </c>
      <c r="B200" s="36">
        <v>1.00223</v>
      </c>
      <c r="E200" s="2">
        <f t="shared" si="7"/>
        <v>1.0059185485285225</v>
      </c>
      <c r="F200">
        <f t="shared" si="6"/>
        <v>-3.6885485285225172E-3</v>
      </c>
      <c r="H200" s="1"/>
    </row>
    <row r="201" spans="1:8" x14ac:dyDescent="0.25">
      <c r="A201" s="36">
        <v>536.87091199999998</v>
      </c>
      <c r="B201" s="36">
        <v>1.0018800000000001</v>
      </c>
      <c r="E201" s="2">
        <f t="shared" si="7"/>
        <v>1.0059099255246755</v>
      </c>
      <c r="F201">
        <f t="shared" si="6"/>
        <v>-4.029925524675404E-3</v>
      </c>
      <c r="H201" s="1"/>
    </row>
    <row r="202" spans="1:8" x14ac:dyDescent="0.25">
      <c r="A202" s="36">
        <v>603.97977600000002</v>
      </c>
      <c r="B202" s="36">
        <v>1.0016</v>
      </c>
      <c r="E202" s="2">
        <f t="shared" si="7"/>
        <v>1.0058961395649646</v>
      </c>
      <c r="F202">
        <f t="shared" si="6"/>
        <v>-4.2961395649645517E-3</v>
      </c>
      <c r="H202" s="1"/>
    </row>
    <row r="203" spans="1:8" x14ac:dyDescent="0.25">
      <c r="A203" s="36">
        <v>671.08864000000005</v>
      </c>
      <c r="B203" s="36">
        <v>1.00301</v>
      </c>
      <c r="E203" s="2">
        <f t="shared" si="7"/>
        <v>1.0058856695367757</v>
      </c>
      <c r="F203">
        <f t="shared" si="6"/>
        <v>-2.8756695367757601E-3</v>
      </c>
      <c r="H203" s="1"/>
    </row>
    <row r="204" spans="1:8" x14ac:dyDescent="0.25">
      <c r="A204" s="36">
        <v>738.19750399999998</v>
      </c>
      <c r="B204" s="36">
        <v>1.00251</v>
      </c>
      <c r="E204" s="2">
        <f t="shared" si="7"/>
        <v>1.005877497063006</v>
      </c>
      <c r="F204">
        <f t="shared" si="6"/>
        <v>-3.3674970630059864E-3</v>
      </c>
      <c r="H204" s="1"/>
    </row>
    <row r="205" spans="1:8" x14ac:dyDescent="0.25">
      <c r="A205" s="36">
        <v>805.30636800000002</v>
      </c>
      <c r="B205" s="36">
        <v>1.0021500000000001</v>
      </c>
      <c r="E205" s="2">
        <f t="shared" si="7"/>
        <v>1.0058709733774067</v>
      </c>
      <c r="F205">
        <f t="shared" si="6"/>
        <v>-3.7209733774066223E-3</v>
      </c>
      <c r="H205" s="1"/>
    </row>
    <row r="206" spans="1:8" x14ac:dyDescent="0.25">
      <c r="A206" s="36">
        <v>872.41523199999995</v>
      </c>
      <c r="B206" s="36">
        <v>1.0018400000000001</v>
      </c>
      <c r="E206" s="2">
        <f t="shared" si="7"/>
        <v>1.005865667628818</v>
      </c>
      <c r="F206">
        <f t="shared" si="6"/>
        <v>-4.0256676288179527E-3</v>
      </c>
      <c r="H206" s="1"/>
    </row>
    <row r="207" spans="1:8" x14ac:dyDescent="0.25">
      <c r="A207" s="36">
        <v>939.52409599999999</v>
      </c>
      <c r="B207" s="36">
        <v>1.00145</v>
      </c>
      <c r="E207" s="2">
        <f t="shared" si="7"/>
        <v>1.0058612836452603</v>
      </c>
      <c r="F207">
        <f t="shared" si="6"/>
        <v>-4.4112836452603332E-3</v>
      </c>
      <c r="H207" s="1"/>
    </row>
    <row r="208" spans="1:8" x14ac:dyDescent="0.25">
      <c r="A208" s="36">
        <v>1006.63296</v>
      </c>
      <c r="B208" s="36">
        <v>1.0023899999999999</v>
      </c>
      <c r="E208" s="2">
        <f t="shared" si="7"/>
        <v>1.0058576118274694</v>
      </c>
      <c r="F208">
        <f t="shared" si="6"/>
        <v>-3.4676118274694634E-3</v>
      </c>
      <c r="H208" s="1"/>
    </row>
    <row r="209" spans="1:8" x14ac:dyDescent="0.25">
      <c r="A209" s="36">
        <v>1073.741824</v>
      </c>
      <c r="B209" s="36">
        <v>1.00241</v>
      </c>
      <c r="E209" s="2">
        <f t="shared" si="7"/>
        <v>1.0058545001094441</v>
      </c>
      <c r="F209">
        <f t="shared" si="6"/>
        <v>-3.4445001094440819E-3</v>
      </c>
      <c r="H209" s="1"/>
    </row>
    <row r="210" spans="1:8" x14ac:dyDescent="0.25">
      <c r="A210" s="36">
        <v>1207.959552</v>
      </c>
      <c r="B210" s="36">
        <v>1.0024599999999999</v>
      </c>
      <c r="E210" s="2">
        <f t="shared" si="7"/>
        <v>1.0058495336597646</v>
      </c>
      <c r="F210">
        <f t="shared" si="6"/>
        <v>-3.3895336597646875E-3</v>
      </c>
      <c r="H210" s="1"/>
    </row>
    <row r="211" spans="1:8" x14ac:dyDescent="0.25">
      <c r="A211" s="36">
        <v>1342.1772800000001</v>
      </c>
      <c r="B211" s="36">
        <v>1.0019899999999999</v>
      </c>
      <c r="E211" s="2">
        <f t="shared" si="7"/>
        <v>1.0058457690295033</v>
      </c>
      <c r="F211">
        <f t="shared" si="6"/>
        <v>-3.8557690295033531E-3</v>
      </c>
      <c r="H211" s="1"/>
    </row>
    <row r="212" spans="1:8" x14ac:dyDescent="0.25">
      <c r="A212" s="36">
        <v>1476.395008</v>
      </c>
      <c r="B212" s="36">
        <v>1.00237</v>
      </c>
      <c r="E212" s="2">
        <f t="shared" si="7"/>
        <v>1.0058428351057165</v>
      </c>
      <c r="F212">
        <f t="shared" si="6"/>
        <v>-3.4728351057164986E-3</v>
      </c>
      <c r="H212" s="1"/>
    </row>
    <row r="213" spans="1:8" x14ac:dyDescent="0.25">
      <c r="A213" s="36">
        <v>1610.612736</v>
      </c>
      <c r="B213" s="36">
        <v>1.00159</v>
      </c>
      <c r="E213" s="2">
        <f t="shared" si="7"/>
        <v>1.0058404961353371</v>
      </c>
      <c r="F213">
        <f t="shared" si="6"/>
        <v>-4.2504961353371229E-3</v>
      </c>
      <c r="H213" s="1"/>
    </row>
    <row r="214" spans="1:8" x14ac:dyDescent="0.25">
      <c r="A214" s="36">
        <v>1744.8304639999999</v>
      </c>
      <c r="B214" s="36">
        <v>1.0017100000000001</v>
      </c>
      <c r="E214" s="2">
        <f t="shared" si="7"/>
        <v>1.005838595918684</v>
      </c>
      <c r="F214">
        <f t="shared" si="6"/>
        <v>-4.1285959186838639E-3</v>
      </c>
      <c r="H214" s="1"/>
    </row>
    <row r="215" spans="1:8" x14ac:dyDescent="0.25">
      <c r="A215" s="36">
        <v>1879.048192</v>
      </c>
      <c r="B215" s="36">
        <v>1.00146</v>
      </c>
      <c r="E215" s="2">
        <f t="shared" si="7"/>
        <v>1.0058370272935289</v>
      </c>
      <c r="F215">
        <f t="shared" si="6"/>
        <v>-4.3770272935288457E-3</v>
      </c>
      <c r="H215" s="1"/>
    </row>
    <row r="216" spans="1:8" x14ac:dyDescent="0.25">
      <c r="A216" s="36">
        <v>2013.2659200000001</v>
      </c>
      <c r="B216" s="36">
        <v>1.0025999999999999</v>
      </c>
      <c r="E216" s="2">
        <f t="shared" si="7"/>
        <v>1.0058357145490833</v>
      </c>
      <c r="F216">
        <f t="shared" si="6"/>
        <v>-3.235714549083335E-3</v>
      </c>
      <c r="H216" s="1"/>
    </row>
    <row r="217" spans="1:8" x14ac:dyDescent="0.25">
      <c r="A217" s="36">
        <v>2147.4836479999999</v>
      </c>
      <c r="B217" s="36">
        <v>1.00264</v>
      </c>
      <c r="E217" s="2">
        <f t="shared" si="7"/>
        <v>1.0058346028361989</v>
      </c>
      <c r="F217">
        <f t="shared" si="6"/>
        <v>-3.1946028361988787E-3</v>
      </c>
      <c r="H217" s="1"/>
    </row>
    <row r="218" spans="1:8" x14ac:dyDescent="0.25">
      <c r="A218" s="36">
        <v>2415.9191040000001</v>
      </c>
      <c r="B218" s="36">
        <v>1.0037100000000001</v>
      </c>
      <c r="E218" s="2">
        <f t="shared" si="7"/>
        <v>1.0058328300464641</v>
      </c>
      <c r="F218">
        <f t="shared" si="6"/>
        <v>-2.1228300464639638E-3</v>
      </c>
      <c r="H218" s="1"/>
    </row>
    <row r="219" spans="1:8" x14ac:dyDescent="0.25">
      <c r="A219" s="36">
        <v>2684.3545600000002</v>
      </c>
      <c r="B219" s="36">
        <v>1.0036</v>
      </c>
      <c r="E219" s="2">
        <f t="shared" si="7"/>
        <v>1.0058314875884502</v>
      </c>
      <c r="F219">
        <f t="shared" si="6"/>
        <v>-2.2314875884501539E-3</v>
      </c>
      <c r="H219" s="1"/>
    </row>
    <row r="220" spans="1:8" x14ac:dyDescent="0.25">
      <c r="A220" s="36">
        <v>2952.7900159999999</v>
      </c>
      <c r="B220" s="36">
        <v>1.0031399999999999</v>
      </c>
      <c r="E220" s="2">
        <f t="shared" si="7"/>
        <v>1.0058304422034687</v>
      </c>
      <c r="F220">
        <f t="shared" si="6"/>
        <v>-2.6904422034688125E-3</v>
      </c>
      <c r="H220" s="1"/>
    </row>
    <row r="221" spans="1:8" x14ac:dyDescent="0.25">
      <c r="A221" s="36">
        <v>3221.2254720000001</v>
      </c>
      <c r="B221" s="36">
        <v>1.00282</v>
      </c>
      <c r="E221" s="2">
        <f t="shared" si="7"/>
        <v>1.0058296093630616</v>
      </c>
      <c r="F221">
        <f t="shared" si="6"/>
        <v>-3.009609363061605E-3</v>
      </c>
      <c r="H221" s="1"/>
    </row>
    <row r="222" spans="1:8" x14ac:dyDescent="0.25">
      <c r="A222" s="36">
        <v>3489.6609279999998</v>
      </c>
      <c r="B222" s="36">
        <v>1.0030300000000001</v>
      </c>
      <c r="E222" s="2">
        <f t="shared" si="7"/>
        <v>1.0058289331307098</v>
      </c>
      <c r="F222">
        <f t="shared" si="6"/>
        <v>-2.7989331307096688E-3</v>
      </c>
      <c r="H222" s="1"/>
    </row>
    <row r="223" spans="1:8" x14ac:dyDescent="0.25">
      <c r="A223" s="36">
        <v>3758.0963839999999</v>
      </c>
      <c r="B223" s="36">
        <v>1.00329</v>
      </c>
      <c r="E223" s="2">
        <f t="shared" si="7"/>
        <v>1.0058283751699166</v>
      </c>
      <c r="F223">
        <f t="shared" si="6"/>
        <v>-2.5383751699166179E-3</v>
      </c>
      <c r="H223" s="1"/>
    </row>
    <row r="224" spans="1:8" x14ac:dyDescent="0.25">
      <c r="A224" s="36">
        <v>4026.5318400000001</v>
      </c>
      <c r="B224" s="36">
        <v>1.00217</v>
      </c>
      <c r="E224" s="2">
        <f t="shared" si="7"/>
        <v>1.0058279084192878</v>
      </c>
      <c r="F224">
        <f t="shared" si="6"/>
        <v>-3.6579084192878142E-3</v>
      </c>
      <c r="H224" s="1"/>
    </row>
    <row r="225" spans="1:8" x14ac:dyDescent="0.25">
      <c r="A225" s="36">
        <v>4294.9672959999998</v>
      </c>
      <c r="B225" s="36">
        <v>1.00227</v>
      </c>
      <c r="E225" s="2">
        <f t="shared" si="7"/>
        <v>1.0058275132887322</v>
      </c>
      <c r="F225">
        <f t="shared" si="6"/>
        <v>-3.5575132887322169E-3</v>
      </c>
      <c r="H225" s="1"/>
    </row>
    <row r="226" spans="1:8" x14ac:dyDescent="0.25">
      <c r="A226" s="36">
        <v>4831.8382080000001</v>
      </c>
      <c r="B226" s="36">
        <v>1.0023200000000001</v>
      </c>
      <c r="E226" s="2">
        <f t="shared" si="7"/>
        <v>1.0058268834770683</v>
      </c>
      <c r="F226">
        <f t="shared" si="6"/>
        <v>-3.5068834770681789E-3</v>
      </c>
      <c r="H226" s="1"/>
    </row>
    <row r="227" spans="1:8" x14ac:dyDescent="0.25">
      <c r="A227" s="36">
        <v>5368.7091200000004</v>
      </c>
      <c r="B227" s="36">
        <v>1.0027299999999999</v>
      </c>
      <c r="E227" s="2">
        <f t="shared" si="7"/>
        <v>1.0058264067896001</v>
      </c>
      <c r="F227">
        <f t="shared" si="6"/>
        <v>-3.0964067896002145E-3</v>
      </c>
      <c r="H227" s="1"/>
    </row>
    <row r="228" spans="1:8" x14ac:dyDescent="0.25">
      <c r="A228" s="36">
        <v>5905.5800319999998</v>
      </c>
      <c r="B228" s="36">
        <v>1.00284</v>
      </c>
      <c r="E228" s="2">
        <f t="shared" si="7"/>
        <v>1.0058260357409516</v>
      </c>
      <c r="F228">
        <f t="shared" si="6"/>
        <v>-2.9860357409516869E-3</v>
      </c>
      <c r="H228" s="1"/>
    </row>
    <row r="229" spans="1:8" x14ac:dyDescent="0.25">
      <c r="A229" s="36">
        <v>6442.4509440000002</v>
      </c>
      <c r="B229" s="36">
        <v>1.0020500000000001</v>
      </c>
      <c r="E229" s="2">
        <f t="shared" si="7"/>
        <v>1.0058257402331241</v>
      </c>
      <c r="F229">
        <f t="shared" si="6"/>
        <v>-3.775740233123992E-3</v>
      </c>
      <c r="H229" s="1"/>
    </row>
    <row r="230" spans="1:8" x14ac:dyDescent="0.25">
      <c r="A230" s="36">
        <v>6979.3218559999996</v>
      </c>
      <c r="B230" s="36">
        <v>1.00342</v>
      </c>
      <c r="E230" s="2">
        <f t="shared" si="7"/>
        <v>1.0058255003612555</v>
      </c>
      <c r="F230">
        <f t="shared" si="6"/>
        <v>-2.4055003612555304E-3</v>
      </c>
      <c r="H230" s="1"/>
    </row>
    <row r="231" spans="1:8" x14ac:dyDescent="0.25">
      <c r="A231" s="36">
        <v>7516.1927679999999</v>
      </c>
      <c r="B231" s="36">
        <v>1.0019499999999999</v>
      </c>
      <c r="E231" s="2">
        <f t="shared" si="7"/>
        <v>1.0058253024905255</v>
      </c>
      <c r="F231">
        <f t="shared" si="6"/>
        <v>-3.8753024905255895E-3</v>
      </c>
      <c r="H231" s="1"/>
    </row>
    <row r="232" spans="1:8" x14ac:dyDescent="0.25">
      <c r="A232" s="36">
        <v>8053.0636800000002</v>
      </c>
      <c r="B232" s="36">
        <v>1.00142</v>
      </c>
      <c r="E232" s="2">
        <f t="shared" si="7"/>
        <v>1.0058251370005025</v>
      </c>
      <c r="F232">
        <f t="shared" si="6"/>
        <v>-4.4051370005024904E-3</v>
      </c>
      <c r="H232" s="1"/>
    </row>
    <row r="233" spans="1:8" x14ac:dyDescent="0.25">
      <c r="A233" s="36">
        <v>8589.9345919999996</v>
      </c>
      <c r="B233" s="36">
        <v>1.00068</v>
      </c>
      <c r="E233" s="2">
        <f t="shared" si="7"/>
        <v>1.0058249969294888</v>
      </c>
      <c r="F233">
        <f t="shared" si="6"/>
        <v>-5.1449969294887765E-3</v>
      </c>
      <c r="H233" s="1"/>
    </row>
    <row r="234" spans="1:8" x14ac:dyDescent="0.25">
      <c r="A234" s="36">
        <v>9663.6764160000002</v>
      </c>
      <c r="B234" s="36">
        <v>1.00074</v>
      </c>
      <c r="E234" s="2">
        <f t="shared" si="7"/>
        <v>1.005824773716169</v>
      </c>
      <c r="F234">
        <f t="shared" si="6"/>
        <v>-5.0847737161689999E-3</v>
      </c>
      <c r="H234" s="1"/>
    </row>
    <row r="235" spans="1:8" x14ac:dyDescent="0.25">
      <c r="A235" s="36">
        <v>10737.418240000001</v>
      </c>
      <c r="B235" s="36">
        <v>1.00257</v>
      </c>
      <c r="E235" s="2">
        <f t="shared" si="7"/>
        <v>1.0058246048152995</v>
      </c>
      <c r="F235">
        <f t="shared" si="6"/>
        <v>-3.2546048152994889E-3</v>
      </c>
      <c r="H235" s="1"/>
    </row>
    <row r="236" spans="1:8" x14ac:dyDescent="0.25">
      <c r="A236" s="36">
        <v>11811.160064</v>
      </c>
      <c r="B236" s="36">
        <v>1.0031399999999999</v>
      </c>
      <c r="E236" s="2">
        <f t="shared" si="7"/>
        <v>1.0058244733718218</v>
      </c>
      <c r="F236">
        <f t="shared" si="6"/>
        <v>-2.6844733718218716E-3</v>
      </c>
      <c r="H236" s="1"/>
    </row>
    <row r="237" spans="1:8" x14ac:dyDescent="0.25">
      <c r="A237" s="36">
        <v>12884.901888</v>
      </c>
      <c r="B237" s="36">
        <v>1.00224</v>
      </c>
      <c r="E237" s="2">
        <f t="shared" si="7"/>
        <v>1.0058243687064754</v>
      </c>
      <c r="F237">
        <f t="shared" si="6"/>
        <v>-3.5843687064753826E-3</v>
      </c>
      <c r="H237" s="1"/>
    </row>
    <row r="238" spans="1:8" x14ac:dyDescent="0.25">
      <c r="A238" s="36">
        <v>13958.643711999999</v>
      </c>
      <c r="B238" s="36">
        <v>1.00152</v>
      </c>
      <c r="E238" s="2">
        <f t="shared" si="7"/>
        <v>1.0058242837589177</v>
      </c>
      <c r="F238">
        <f t="shared" si="6"/>
        <v>-4.3042837589177818E-3</v>
      </c>
      <c r="H238" s="1"/>
    </row>
    <row r="239" spans="1:8" x14ac:dyDescent="0.25">
      <c r="A239" s="36">
        <v>15032.385536</v>
      </c>
      <c r="B239" s="36">
        <v>1.0005599999999999</v>
      </c>
      <c r="H239" s="1"/>
    </row>
    <row r="240" spans="1:8" x14ac:dyDescent="0.25">
      <c r="A240" s="36">
        <v>16106.12736</v>
      </c>
      <c r="B240" s="36">
        <v>1.0012399999999999</v>
      </c>
      <c r="H240" s="1"/>
    </row>
    <row r="241" spans="1:8" x14ac:dyDescent="0.25">
      <c r="A241" s="36">
        <v>17179.869183999999</v>
      </c>
      <c r="B241" s="36">
        <v>1.0007900000000001</v>
      </c>
      <c r="H241" s="1"/>
    </row>
    <row r="242" spans="1:8" x14ac:dyDescent="0.25">
      <c r="A242" s="36">
        <v>19327.352832</v>
      </c>
      <c r="B242" s="36">
        <v>1.0012399999999999</v>
      </c>
      <c r="H242" s="1"/>
    </row>
    <row r="243" spans="1:8" x14ac:dyDescent="0.25">
      <c r="A243" s="36">
        <v>21474.836480000002</v>
      </c>
      <c r="B243" s="36">
        <v>1.0000899999999999</v>
      </c>
      <c r="H243" s="1"/>
    </row>
    <row r="244" spans="1:8" x14ac:dyDescent="0.25">
      <c r="A244" s="36">
        <v>23622.320127999999</v>
      </c>
      <c r="B244" s="36">
        <v>0.99718399999999996</v>
      </c>
      <c r="H244" s="1"/>
    </row>
    <row r="245" spans="1:8" x14ac:dyDescent="0.25">
      <c r="A245" s="36">
        <v>25769.803776000001</v>
      </c>
      <c r="B245" s="36">
        <v>0.99526099999999995</v>
      </c>
      <c r="H245" s="1"/>
    </row>
    <row r="246" spans="1:8" x14ac:dyDescent="0.25">
      <c r="A246" s="36">
        <v>27917.287423999998</v>
      </c>
      <c r="B246" s="36">
        <v>0.99365000000000003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>
      <selection activeCell="D8" sqref="D8"/>
    </sheetView>
  </sheetViews>
  <sheetFormatPr defaultColWidth="9" defaultRowHeight="15" x14ac:dyDescent="0.25"/>
  <cols>
    <col min="1" max="1" width="14.28515625" bestFit="1" customWidth="1"/>
    <col min="2" max="2" width="11.140625" bestFit="1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bestFit="1" customWidth="1"/>
  </cols>
  <sheetData>
    <row r="1" spans="1:12" x14ac:dyDescent="0.25">
      <c r="A1" t="s">
        <v>6</v>
      </c>
      <c r="B1" t="s">
        <v>11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37">
        <v>3.9999999999999998E-6</v>
      </c>
      <c r="B2" s="37">
        <v>1.2793600000000001</v>
      </c>
      <c r="C2" s="3" t="s">
        <v>1</v>
      </c>
      <c r="D2">
        <v>1.0017913705976655</v>
      </c>
      <c r="E2" s="2">
        <f>$D$2+1/$D$3*($D$8/(1+A2/$D$4)/SQRT(1+A2/$D$4/$D$5/$D$5)+(1-$D$8)/(1+A2/$D$6)/SQRT(1+A2/$D$6/$D$7/$D$7))*(1+$D$9*EXP(-A2/$D$10)+$D$11*EXP(-A2/$D$12))</f>
        <v>1.3760243651347439</v>
      </c>
      <c r="F2">
        <f>B2-E2</f>
        <v>-9.6664365134743857E-2</v>
      </c>
      <c r="G2">
        <f>SUMSQ(F$3:F$190)</f>
        <v>5.9390890469121693E-3</v>
      </c>
      <c r="H2" s="1"/>
      <c r="I2" s="13" t="s">
        <v>19</v>
      </c>
      <c r="J2" s="21">
        <v>53.22</v>
      </c>
      <c r="L2" s="14">
        <f>(J2+J3)/D3</f>
        <v>39.403821848752578</v>
      </c>
    </row>
    <row r="3" spans="1:12" x14ac:dyDescent="0.25">
      <c r="A3" s="37">
        <v>7.9999999999999996E-6</v>
      </c>
      <c r="B3" s="37">
        <v>1.35561</v>
      </c>
      <c r="C3" s="3" t="s">
        <v>2</v>
      </c>
      <c r="D3">
        <v>3.3788600636517914</v>
      </c>
      <c r="E3" s="2">
        <f t="shared" ref="E3:E66" si="0">$D$2+1/$D$3*($D$8/(1+A3/$D$4)/SQRT(1+A3/$D$4/$D$5/$D$5)+(1-$D$8)/(1+A3/$D$6)/SQRT(1+A3/$D$6/$D$7/$D$7))*(1+$D$9*EXP(-A3/$D$10)+$D$11*EXP(-A3/$D$12))</f>
        <v>1.3724626207220267</v>
      </c>
      <c r="F3">
        <f t="shared" ref="F3:F66" si="1">B3-E3</f>
        <v>-1.6852620722026757E-2</v>
      </c>
      <c r="H3" s="1"/>
      <c r="I3" s="13" t="s">
        <v>20</v>
      </c>
      <c r="J3" s="22">
        <v>79.92</v>
      </c>
    </row>
    <row r="4" spans="1:12" x14ac:dyDescent="0.25">
      <c r="A4" s="37">
        <v>1.2E-5</v>
      </c>
      <c r="B4" s="37">
        <v>1.38958</v>
      </c>
      <c r="C4" s="3" t="s">
        <v>26</v>
      </c>
      <c r="D4">
        <f>('1_Rh110 in buffer'!D4+'2_Rh110 in buffer'!D4)/2</f>
        <v>0.1892478885079571</v>
      </c>
      <c r="E4" s="2">
        <f t="shared" si="0"/>
        <v>1.3692474253019058</v>
      </c>
      <c r="F4">
        <f t="shared" si="1"/>
        <v>2.0332574698094241E-2</v>
      </c>
      <c r="H4" s="1"/>
      <c r="I4" s="4"/>
    </row>
    <row r="5" spans="1:12" x14ac:dyDescent="0.25">
      <c r="A5" s="37">
        <v>1.5999999999999999E-5</v>
      </c>
      <c r="B5" s="37">
        <v>1.3783399999999999</v>
      </c>
      <c r="C5" s="3" t="s">
        <v>22</v>
      </c>
      <c r="D5">
        <f>('1_Rh110 in buffer'!D5+'2_Rh110 in buffer'!D5)/2</f>
        <v>5.9953640241376469</v>
      </c>
      <c r="E5" s="2">
        <f t="shared" si="0"/>
        <v>1.3663443320327835</v>
      </c>
      <c r="F5">
        <f t="shared" si="1"/>
        <v>1.1995667967216406E-2</v>
      </c>
      <c r="H5" s="1"/>
      <c r="I5" s="4"/>
    </row>
    <row r="6" spans="1:12" x14ac:dyDescent="0.25">
      <c r="A6" s="37">
        <v>2.0000000000000002E-5</v>
      </c>
      <c r="B6" s="37">
        <v>1.35781</v>
      </c>
      <c r="C6" s="3" t="s">
        <v>25</v>
      </c>
      <c r="D6">
        <f>('1_EGFP'!D4+'2_EGFP'!D4)/2</f>
        <v>0.69387704629912417</v>
      </c>
      <c r="E6" s="2">
        <f t="shared" si="0"/>
        <v>1.3637223192621475</v>
      </c>
      <c r="F6">
        <f t="shared" si="1"/>
        <v>-5.9123192621475251E-3</v>
      </c>
      <c r="H6" s="1"/>
      <c r="I6" s="4"/>
    </row>
    <row r="7" spans="1:12" x14ac:dyDescent="0.25">
      <c r="A7" s="37">
        <v>2.4000000000000001E-5</v>
      </c>
      <c r="B7" s="37">
        <v>1.37418</v>
      </c>
      <c r="C7" s="3" t="s">
        <v>22</v>
      </c>
      <c r="D7">
        <f>('1_Rh110 in buffer'!D5+'2_Rh110 in buffer'!D5)/2</f>
        <v>5.9953640241376469</v>
      </c>
      <c r="E7" s="2">
        <f t="shared" si="0"/>
        <v>1.3613534499441204</v>
      </c>
      <c r="F7">
        <f t="shared" si="1"/>
        <v>1.2826550055879515E-2</v>
      </c>
      <c r="H7" s="1"/>
      <c r="I7" s="4"/>
    </row>
    <row r="8" spans="1:12" x14ac:dyDescent="0.25">
      <c r="A8" s="37">
        <v>2.8E-5</v>
      </c>
      <c r="B8" s="37">
        <v>1.34877</v>
      </c>
      <c r="C8" s="3" t="s">
        <v>13</v>
      </c>
      <c r="D8">
        <v>0.61894046471907704</v>
      </c>
      <c r="E8" s="2">
        <f t="shared" si="0"/>
        <v>1.3592125649227085</v>
      </c>
      <c r="F8">
        <f t="shared" si="1"/>
        <v>-1.0442564922708453E-2</v>
      </c>
      <c r="H8" s="1"/>
      <c r="I8" s="4"/>
    </row>
    <row r="9" spans="1:12" x14ac:dyDescent="0.25">
      <c r="A9" s="37">
        <v>3.1999999999999999E-5</v>
      </c>
      <c r="B9" s="37">
        <v>1.33924</v>
      </c>
      <c r="C9" s="3" t="s">
        <v>14</v>
      </c>
      <c r="D9">
        <v>0.14635727051245676</v>
      </c>
      <c r="E9" s="2">
        <f t="shared" si="0"/>
        <v>1.3572770067133244</v>
      </c>
      <c r="F9">
        <f t="shared" si="1"/>
        <v>-1.8037006713324422E-2</v>
      </c>
      <c r="H9" s="1"/>
      <c r="I9" s="4"/>
    </row>
    <row r="10" spans="1:12" x14ac:dyDescent="0.25">
      <c r="A10" s="37">
        <v>3.6000000000000001E-5</v>
      </c>
      <c r="B10" s="37">
        <v>1.3443700000000001</v>
      </c>
      <c r="C10" s="3" t="s">
        <v>24</v>
      </c>
      <c r="D10">
        <v>2.3822642892860233E-3</v>
      </c>
      <c r="E10" s="2">
        <f t="shared" si="0"/>
        <v>1.3555263707499978</v>
      </c>
      <c r="F10">
        <f t="shared" si="1"/>
        <v>-1.1156370749997757E-2</v>
      </c>
      <c r="H10" s="1"/>
      <c r="I10" s="4"/>
    </row>
    <row r="11" spans="1:12" x14ac:dyDescent="0.25">
      <c r="A11" s="37">
        <v>4.0000000000000003E-5</v>
      </c>
      <c r="B11" s="37">
        <v>1.32555</v>
      </c>
      <c r="C11" s="3" t="s">
        <v>15</v>
      </c>
      <c r="D11">
        <v>0.13145846786818607</v>
      </c>
      <c r="E11" s="2">
        <f t="shared" si="0"/>
        <v>1.3539422813672355</v>
      </c>
      <c r="F11">
        <f t="shared" si="1"/>
        <v>-2.8392281367235483E-2</v>
      </c>
      <c r="H11" s="1"/>
      <c r="I11" s="4"/>
    </row>
    <row r="12" spans="1:12" x14ac:dyDescent="0.25">
      <c r="A12" s="37">
        <v>4.3999999999999999E-5</v>
      </c>
      <c r="B12" s="37">
        <v>1.36734</v>
      </c>
      <c r="C12" s="3" t="s">
        <v>23</v>
      </c>
      <c r="D12" s="1">
        <v>3.8198174903603207E-5</v>
      </c>
      <c r="E12" s="2">
        <f t="shared" si="0"/>
        <v>1.352508190057045</v>
      </c>
      <c r="F12">
        <f t="shared" si="1"/>
        <v>1.4831809942954965E-2</v>
      </c>
      <c r="H12" s="1"/>
      <c r="I12" s="4"/>
    </row>
    <row r="13" spans="1:12" x14ac:dyDescent="0.25">
      <c r="A13" s="37">
        <v>4.8000000000000001E-5</v>
      </c>
      <c r="B13" s="37">
        <v>1.3666100000000001</v>
      </c>
      <c r="E13" s="2">
        <f t="shared" si="0"/>
        <v>1.3512091937862027</v>
      </c>
      <c r="F13">
        <f t="shared" si="1"/>
        <v>1.5400806213797358E-2</v>
      </c>
      <c r="H13" s="1"/>
    </row>
    <row r="14" spans="1:12" x14ac:dyDescent="0.25">
      <c r="A14" s="37">
        <v>5.1999999999999997E-5</v>
      </c>
      <c r="B14" s="37">
        <v>1.3761399999999999</v>
      </c>
      <c r="E14" s="2">
        <f t="shared" si="0"/>
        <v>1.3500318713790813</v>
      </c>
      <c r="F14">
        <f t="shared" si="1"/>
        <v>2.6108128620918603E-2</v>
      </c>
      <c r="H14" s="1"/>
    </row>
    <row r="15" spans="1:12" x14ac:dyDescent="0.25">
      <c r="A15" s="37">
        <v>5.5999999999999999E-5</v>
      </c>
      <c r="B15" s="37">
        <v>1.36025</v>
      </c>
      <c r="E15" s="2">
        <f t="shared" si="0"/>
        <v>1.3489641361696925</v>
      </c>
      <c r="F15">
        <f t="shared" si="1"/>
        <v>1.1285863830307497E-2</v>
      </c>
      <c r="H15" s="1"/>
    </row>
    <row r="16" spans="1:12" x14ac:dyDescent="0.25">
      <c r="A16" s="37">
        <v>6.0000000000000002E-5</v>
      </c>
      <c r="B16" s="37">
        <v>1.3399700000000001</v>
      </c>
      <c r="E16" s="2">
        <f t="shared" si="0"/>
        <v>1.347995103305224</v>
      </c>
      <c r="F16">
        <f t="shared" si="1"/>
        <v>-8.0251033052238796E-3</v>
      </c>
      <c r="H16" s="1"/>
    </row>
    <row r="17" spans="1:8" x14ac:dyDescent="0.25">
      <c r="A17" s="37">
        <v>6.3999999999999997E-5</v>
      </c>
      <c r="B17" s="37">
        <v>1.3393600000000001</v>
      </c>
      <c r="E17" s="2">
        <f t="shared" si="0"/>
        <v>1.3471149702442031</v>
      </c>
      <c r="F17">
        <f t="shared" si="1"/>
        <v>-7.7549702442030188E-3</v>
      </c>
      <c r="H17" s="1"/>
    </row>
    <row r="18" spans="1:8" x14ac:dyDescent="0.25">
      <c r="A18" s="37">
        <v>7.2000000000000002E-5</v>
      </c>
      <c r="B18" s="37">
        <v>1.3411900000000001</v>
      </c>
      <c r="E18" s="2">
        <f t="shared" si="0"/>
        <v>1.3455869699091063</v>
      </c>
      <c r="F18">
        <f t="shared" si="1"/>
        <v>-4.3969699091062076E-3</v>
      </c>
      <c r="H18" s="1"/>
    </row>
    <row r="19" spans="1:8" x14ac:dyDescent="0.25">
      <c r="A19" s="37">
        <v>8.0000000000000007E-5</v>
      </c>
      <c r="B19" s="37">
        <v>1.3458300000000001</v>
      </c>
      <c r="E19" s="2">
        <f t="shared" si="0"/>
        <v>1.3443195306495994</v>
      </c>
      <c r="F19">
        <f t="shared" si="1"/>
        <v>1.5104693504006672E-3</v>
      </c>
      <c r="H19" s="1"/>
    </row>
    <row r="20" spans="1:8" x14ac:dyDescent="0.25">
      <c r="A20" s="37">
        <v>8.7999999999999998E-5</v>
      </c>
      <c r="B20" s="37">
        <v>1.35561</v>
      </c>
      <c r="E20" s="2">
        <f t="shared" si="0"/>
        <v>1.3432635008115541</v>
      </c>
      <c r="F20">
        <f t="shared" si="1"/>
        <v>1.2346499188445881E-2</v>
      </c>
      <c r="H20" s="1"/>
    </row>
    <row r="21" spans="1:8" x14ac:dyDescent="0.25">
      <c r="A21" s="37">
        <v>9.6000000000000002E-5</v>
      </c>
      <c r="B21" s="37">
        <v>1.3424100000000001</v>
      </c>
      <c r="E21" s="2">
        <f t="shared" si="0"/>
        <v>1.3423790172175099</v>
      </c>
      <c r="F21">
        <f t="shared" si="1"/>
        <v>3.0982782490251992E-5</v>
      </c>
      <c r="H21" s="1"/>
    </row>
    <row r="22" spans="1:8" x14ac:dyDescent="0.25">
      <c r="A22" s="37">
        <v>1.0399999999999999E-4</v>
      </c>
      <c r="B22" s="37">
        <v>1.32799</v>
      </c>
      <c r="E22" s="2">
        <f t="shared" si="0"/>
        <v>1.3416337498123942</v>
      </c>
      <c r="F22">
        <f t="shared" si="1"/>
        <v>-1.3643749812394246E-2</v>
      </c>
      <c r="H22" s="1"/>
    </row>
    <row r="23" spans="1:8" x14ac:dyDescent="0.25">
      <c r="A23" s="37">
        <v>1.12E-4</v>
      </c>
      <c r="B23" s="37">
        <v>1.3298300000000001</v>
      </c>
      <c r="E23" s="2">
        <f t="shared" si="0"/>
        <v>1.3410014780396853</v>
      </c>
      <c r="F23">
        <f t="shared" si="1"/>
        <v>-1.1171478039685212E-2</v>
      </c>
      <c r="H23" s="1"/>
    </row>
    <row r="24" spans="1:8" x14ac:dyDescent="0.25">
      <c r="A24" s="37">
        <v>1.2E-4</v>
      </c>
      <c r="B24" s="37">
        <v>1.3507199999999999</v>
      </c>
      <c r="E24" s="2">
        <f t="shared" si="0"/>
        <v>1.34046093625692</v>
      </c>
      <c r="F24">
        <f t="shared" si="1"/>
        <v>1.0259063743079944E-2</v>
      </c>
      <c r="H24" s="1"/>
    </row>
    <row r="25" spans="1:8" x14ac:dyDescent="0.25">
      <c r="A25" s="37">
        <v>1.2799999999999999E-4</v>
      </c>
      <c r="B25" s="37">
        <v>1.3343499999999999</v>
      </c>
      <c r="E25" s="2">
        <f t="shared" si="0"/>
        <v>1.3399948773469403</v>
      </c>
      <c r="F25">
        <f t="shared" si="1"/>
        <v>-5.6448773469404134E-3</v>
      </c>
      <c r="H25" s="1"/>
    </row>
    <row r="26" spans="1:8" x14ac:dyDescent="0.25">
      <c r="A26" s="37">
        <v>1.44E-4</v>
      </c>
      <c r="B26" s="37">
        <v>1.3361799999999999</v>
      </c>
      <c r="E26" s="2">
        <f t="shared" si="0"/>
        <v>1.3392328992529206</v>
      </c>
      <c r="F26">
        <f t="shared" si="1"/>
        <v>-3.0528992529206267E-3</v>
      </c>
      <c r="H26" s="1"/>
    </row>
    <row r="27" spans="1:8" x14ac:dyDescent="0.25">
      <c r="A27" s="37">
        <v>1.6000000000000001E-4</v>
      </c>
      <c r="B27" s="37">
        <v>1.34168</v>
      </c>
      <c r="E27" s="2">
        <f t="shared" si="0"/>
        <v>1.3386324551621915</v>
      </c>
      <c r="F27">
        <f t="shared" si="1"/>
        <v>3.0475448378084469E-3</v>
      </c>
      <c r="H27" s="1"/>
    </row>
    <row r="28" spans="1:8" x14ac:dyDescent="0.25">
      <c r="A28" s="37">
        <v>1.76E-4</v>
      </c>
      <c r="B28" s="37">
        <v>1.3382000000000001</v>
      </c>
      <c r="E28" s="2">
        <f t="shared" si="0"/>
        <v>1.3381388892648913</v>
      </c>
      <c r="F28">
        <f t="shared" si="1"/>
        <v>6.1110735108726999E-5</v>
      </c>
      <c r="H28" s="1"/>
    </row>
    <row r="29" spans="1:8" x14ac:dyDescent="0.25">
      <c r="A29" s="37">
        <v>1.92E-4</v>
      </c>
      <c r="B29" s="37">
        <v>1.3457699999999999</v>
      </c>
      <c r="E29" s="2">
        <f t="shared" si="0"/>
        <v>1.3377162474487261</v>
      </c>
      <c r="F29">
        <f t="shared" si="1"/>
        <v>8.0537525512738295E-3</v>
      </c>
      <c r="H29" s="1"/>
    </row>
    <row r="30" spans="1:8" x14ac:dyDescent="0.25">
      <c r="A30" s="37">
        <v>2.0799999999999999E-4</v>
      </c>
      <c r="B30" s="37">
        <v>1.3171200000000001</v>
      </c>
      <c r="E30" s="2">
        <f t="shared" si="0"/>
        <v>1.3373408766743478</v>
      </c>
      <c r="F30">
        <f t="shared" si="1"/>
        <v>-2.0220876674347688E-2</v>
      </c>
      <c r="H30" s="1"/>
    </row>
    <row r="31" spans="1:8" x14ac:dyDescent="0.25">
      <c r="A31" s="37">
        <v>2.24E-4</v>
      </c>
      <c r="B31" s="37">
        <v>1.3358099999999999</v>
      </c>
      <c r="E31" s="2">
        <f t="shared" si="0"/>
        <v>1.3369972149634426</v>
      </c>
      <c r="F31">
        <f t="shared" si="1"/>
        <v>-1.187214963442651E-3</v>
      </c>
      <c r="H31" s="1"/>
    </row>
    <row r="32" spans="1:8" x14ac:dyDescent="0.25">
      <c r="A32" s="37">
        <v>2.4000000000000001E-4</v>
      </c>
      <c r="B32" s="37">
        <v>1.3441799999999999</v>
      </c>
      <c r="E32" s="2">
        <f t="shared" si="0"/>
        <v>1.3366750222626116</v>
      </c>
      <c r="F32">
        <f t="shared" si="1"/>
        <v>7.5049777373883408E-3</v>
      </c>
      <c r="H32" s="1"/>
    </row>
    <row r="33" spans="1:8" x14ac:dyDescent="0.25">
      <c r="A33" s="37">
        <v>2.5599999999999999E-4</v>
      </c>
      <c r="B33" s="37">
        <v>1.3395699999999999</v>
      </c>
      <c r="E33" s="2">
        <f t="shared" si="0"/>
        <v>1.3363675590434985</v>
      </c>
      <c r="F33">
        <f t="shared" si="1"/>
        <v>3.2024409565014622E-3</v>
      </c>
      <c r="H33" s="1"/>
    </row>
    <row r="34" spans="1:8" x14ac:dyDescent="0.25">
      <c r="A34" s="37">
        <v>2.8800000000000001E-4</v>
      </c>
      <c r="B34" s="37">
        <v>1.34483</v>
      </c>
      <c r="E34" s="2">
        <f t="shared" si="0"/>
        <v>1.3357805874289796</v>
      </c>
      <c r="F34">
        <f t="shared" si="1"/>
        <v>9.049412571020321E-3</v>
      </c>
      <c r="H34" s="1"/>
    </row>
    <row r="35" spans="1:8" x14ac:dyDescent="0.25">
      <c r="A35" s="37">
        <v>3.2000000000000003E-4</v>
      </c>
      <c r="B35" s="37">
        <v>1.3440300000000001</v>
      </c>
      <c r="E35" s="2">
        <f t="shared" si="0"/>
        <v>1.3352160453826665</v>
      </c>
      <c r="F35">
        <f t="shared" si="1"/>
        <v>8.8139546173335859E-3</v>
      </c>
      <c r="H35" s="1"/>
    </row>
    <row r="36" spans="1:8" x14ac:dyDescent="0.25">
      <c r="A36" s="37">
        <v>3.5199999999999999E-4</v>
      </c>
      <c r="B36" s="37">
        <v>1.32802</v>
      </c>
      <c r="E36" s="2">
        <f t="shared" si="0"/>
        <v>1.3346651166999568</v>
      </c>
      <c r="F36">
        <f t="shared" si="1"/>
        <v>-6.6451166999568212E-3</v>
      </c>
      <c r="H36" s="1"/>
    </row>
    <row r="37" spans="1:8" x14ac:dyDescent="0.25">
      <c r="A37" s="37">
        <v>3.8400000000000001E-4</v>
      </c>
      <c r="B37" s="37">
        <v>1.3424700000000001</v>
      </c>
      <c r="E37" s="2">
        <f t="shared" si="0"/>
        <v>1.3341239346068958</v>
      </c>
      <c r="F37">
        <f t="shared" si="1"/>
        <v>8.3460653931042295E-3</v>
      </c>
      <c r="H37" s="1"/>
    </row>
    <row r="38" spans="1:8" x14ac:dyDescent="0.25">
      <c r="A38" s="37">
        <v>4.1599999999999997E-4</v>
      </c>
      <c r="B38" s="37">
        <v>1.3337399999999999</v>
      </c>
      <c r="E38" s="2">
        <f t="shared" si="0"/>
        <v>1.3335907743360398</v>
      </c>
      <c r="F38">
        <f t="shared" si="1"/>
        <v>1.492256639601397E-4</v>
      </c>
      <c r="H38" s="1"/>
    </row>
    <row r="39" spans="1:8" x14ac:dyDescent="0.25">
      <c r="A39" s="37">
        <v>4.4799999999999999E-4</v>
      </c>
      <c r="B39" s="37">
        <v>1.3361499999999999</v>
      </c>
      <c r="E39" s="2">
        <f t="shared" si="0"/>
        <v>1.3330648385261559</v>
      </c>
      <c r="F39">
        <f t="shared" si="1"/>
        <v>3.085161473844078E-3</v>
      </c>
      <c r="H39" s="1"/>
    </row>
    <row r="40" spans="1:8" x14ac:dyDescent="0.25">
      <c r="A40" s="37">
        <v>4.8000000000000001E-4</v>
      </c>
      <c r="B40" s="37">
        <v>1.32582</v>
      </c>
      <c r="E40" s="2">
        <f t="shared" si="0"/>
        <v>1.3325457317338418</v>
      </c>
      <c r="F40">
        <f t="shared" si="1"/>
        <v>-6.7257317338418332E-3</v>
      </c>
      <c r="H40" s="1"/>
    </row>
    <row r="41" spans="1:8" x14ac:dyDescent="0.25">
      <c r="A41" s="37">
        <v>5.1199999999999998E-4</v>
      </c>
      <c r="B41" s="37">
        <v>1.32575</v>
      </c>
      <c r="E41" s="2">
        <f t="shared" si="0"/>
        <v>1.3320332330794169</v>
      </c>
      <c r="F41">
        <f t="shared" si="1"/>
        <v>-6.2832330794169167E-3</v>
      </c>
      <c r="H41" s="1"/>
    </row>
    <row r="42" spans="1:8" x14ac:dyDescent="0.25">
      <c r="A42" s="37">
        <v>5.7600000000000001E-4</v>
      </c>
      <c r="B42" s="37">
        <v>1.33091</v>
      </c>
      <c r="E42" s="2">
        <f t="shared" si="0"/>
        <v>1.3310275150635913</v>
      </c>
      <c r="F42">
        <f t="shared" si="1"/>
        <v>-1.1751506359125585E-4</v>
      </c>
      <c r="H42" s="1"/>
    </row>
    <row r="43" spans="1:8" x14ac:dyDescent="0.25">
      <c r="A43" s="37">
        <v>6.4000000000000005E-4</v>
      </c>
      <c r="B43" s="37">
        <v>1.3316600000000001</v>
      </c>
      <c r="E43" s="2">
        <f t="shared" si="0"/>
        <v>1.3300468303865505</v>
      </c>
      <c r="F43">
        <f t="shared" si="1"/>
        <v>1.6131696134495943E-3</v>
      </c>
      <c r="H43" s="1"/>
    </row>
    <row r="44" spans="1:8" x14ac:dyDescent="0.25">
      <c r="A44" s="37">
        <v>7.0399999999999998E-4</v>
      </c>
      <c r="B44" s="37">
        <v>1.3254300000000001</v>
      </c>
      <c r="E44" s="2">
        <f t="shared" si="0"/>
        <v>1.3290904799930865</v>
      </c>
      <c r="F44">
        <f t="shared" si="1"/>
        <v>-3.6604799930863852E-3</v>
      </c>
      <c r="H44" s="1"/>
    </row>
    <row r="45" spans="1:8" x14ac:dyDescent="0.25">
      <c r="A45" s="37">
        <v>7.6800000000000002E-4</v>
      </c>
      <c r="B45" s="37">
        <v>1.3400799999999999</v>
      </c>
      <c r="E45" s="2">
        <f t="shared" si="0"/>
        <v>1.3281578082733985</v>
      </c>
      <c r="F45">
        <f t="shared" si="1"/>
        <v>1.1922191726601472E-2</v>
      </c>
      <c r="H45" s="1"/>
    </row>
    <row r="46" spans="1:8" x14ac:dyDescent="0.25">
      <c r="A46" s="37">
        <v>8.3199999999999995E-4</v>
      </c>
      <c r="B46" s="37">
        <v>1.3290599999999999</v>
      </c>
      <c r="E46" s="2">
        <f t="shared" si="0"/>
        <v>1.3272481817900634</v>
      </c>
      <c r="F46">
        <f t="shared" si="1"/>
        <v>1.8118182099364777E-3</v>
      </c>
      <c r="H46" s="1"/>
    </row>
    <row r="47" spans="1:8" x14ac:dyDescent="0.25">
      <c r="A47" s="37">
        <v>8.9599999999999999E-4</v>
      </c>
      <c r="B47" s="37">
        <v>1.31901</v>
      </c>
      <c r="E47" s="2">
        <f t="shared" si="0"/>
        <v>1.3263609849205544</v>
      </c>
      <c r="F47">
        <f t="shared" si="1"/>
        <v>-7.3509849205544153E-3</v>
      </c>
      <c r="H47" s="1"/>
    </row>
    <row r="48" spans="1:8" x14ac:dyDescent="0.25">
      <c r="A48" s="37">
        <v>9.6000000000000002E-4</v>
      </c>
      <c r="B48" s="37">
        <v>1.3245400000000001</v>
      </c>
      <c r="E48" s="2">
        <f t="shared" si="0"/>
        <v>1.3254956186759546</v>
      </c>
      <c r="F48">
        <f t="shared" si="1"/>
        <v>-9.55618675954506E-4</v>
      </c>
      <c r="H48" s="1"/>
    </row>
    <row r="49" spans="1:8" x14ac:dyDescent="0.25">
      <c r="A49" s="37">
        <v>1.024E-3</v>
      </c>
      <c r="B49" s="37">
        <v>1.32317</v>
      </c>
      <c r="E49" s="2">
        <f t="shared" si="0"/>
        <v>1.324651500123958</v>
      </c>
      <c r="F49">
        <f t="shared" si="1"/>
        <v>-1.4815001239580905E-3</v>
      </c>
      <c r="H49" s="1"/>
    </row>
    <row r="50" spans="1:8" x14ac:dyDescent="0.25">
      <c r="A50" s="37">
        <v>1.152E-3</v>
      </c>
      <c r="B50" s="37">
        <v>1.3231200000000001</v>
      </c>
      <c r="E50" s="2">
        <f t="shared" si="0"/>
        <v>1.3230247519576264</v>
      </c>
      <c r="F50">
        <f t="shared" si="1"/>
        <v>9.5248042373707875E-5</v>
      </c>
      <c r="H50" s="1"/>
    </row>
    <row r="51" spans="1:8" x14ac:dyDescent="0.25">
      <c r="A51" s="37">
        <v>1.2800000000000001E-3</v>
      </c>
      <c r="B51" s="37">
        <v>1.3193299999999999</v>
      </c>
      <c r="E51" s="2">
        <f t="shared" si="0"/>
        <v>1.3214763815113175</v>
      </c>
      <c r="F51">
        <f t="shared" si="1"/>
        <v>-2.1463815113176299E-3</v>
      </c>
      <c r="H51" s="1"/>
    </row>
    <row r="52" spans="1:8" x14ac:dyDescent="0.25">
      <c r="A52" s="37">
        <v>1.408E-3</v>
      </c>
      <c r="B52" s="37">
        <v>1.3201000000000001</v>
      </c>
      <c r="E52" s="2">
        <f t="shared" si="0"/>
        <v>1.3200022600012891</v>
      </c>
      <c r="F52">
        <f t="shared" si="1"/>
        <v>9.7739998710988374E-5</v>
      </c>
      <c r="H52" s="1"/>
    </row>
    <row r="53" spans="1:8" x14ac:dyDescent="0.25">
      <c r="A53" s="37">
        <v>1.536E-3</v>
      </c>
      <c r="B53" s="37">
        <v>1.3125100000000001</v>
      </c>
      <c r="E53" s="2">
        <f t="shared" si="0"/>
        <v>1.318598476616657</v>
      </c>
      <c r="F53">
        <f t="shared" si="1"/>
        <v>-6.0884766166569015E-3</v>
      </c>
      <c r="H53" s="1"/>
    </row>
    <row r="54" spans="1:8" x14ac:dyDescent="0.25">
      <c r="A54" s="37">
        <v>1.6639999999999999E-3</v>
      </c>
      <c r="B54" s="37">
        <v>1.31708</v>
      </c>
      <c r="E54" s="2">
        <f t="shared" si="0"/>
        <v>1.3172613270095233</v>
      </c>
      <c r="F54">
        <f t="shared" si="1"/>
        <v>-1.8132700952322445E-4</v>
      </c>
      <c r="H54" s="1"/>
    </row>
    <row r="55" spans="1:8" x14ac:dyDescent="0.25">
      <c r="A55" s="37">
        <v>1.792E-3</v>
      </c>
      <c r="B55" s="37">
        <v>1.31843</v>
      </c>
      <c r="E55" s="2">
        <f t="shared" si="0"/>
        <v>1.3159873023930149</v>
      </c>
      <c r="F55">
        <f t="shared" si="1"/>
        <v>2.4426976069851225E-3</v>
      </c>
      <c r="H55" s="1"/>
    </row>
    <row r="56" spans="1:8" x14ac:dyDescent="0.25">
      <c r="A56" s="37">
        <v>1.92E-3</v>
      </c>
      <c r="B56" s="37">
        <v>1.31206</v>
      </c>
      <c r="E56" s="2">
        <f t="shared" si="0"/>
        <v>1.3147730792150605</v>
      </c>
      <c r="F56">
        <f t="shared" si="1"/>
        <v>-2.7130792150604766E-3</v>
      </c>
      <c r="H56" s="1"/>
    </row>
    <row r="57" spans="1:8" x14ac:dyDescent="0.25">
      <c r="A57" s="37">
        <v>2.0479999999999999E-3</v>
      </c>
      <c r="B57" s="37">
        <v>1.31199</v>
      </c>
      <c r="E57" s="2">
        <f t="shared" si="0"/>
        <v>1.3136155093774944</v>
      </c>
      <c r="F57">
        <f t="shared" si="1"/>
        <v>-1.6255093774943941E-3</v>
      </c>
      <c r="H57" s="1"/>
    </row>
    <row r="58" spans="1:8" x14ac:dyDescent="0.25">
      <c r="A58" s="37">
        <v>2.3040000000000001E-3</v>
      </c>
      <c r="B58" s="37">
        <v>1.3111600000000001</v>
      </c>
      <c r="E58" s="2">
        <f t="shared" si="0"/>
        <v>1.3114585595034014</v>
      </c>
      <c r="F58">
        <f t="shared" si="1"/>
        <v>-2.9855950340129667E-4</v>
      </c>
      <c r="H58" s="1"/>
    </row>
    <row r="59" spans="1:8" x14ac:dyDescent="0.25">
      <c r="A59" s="37">
        <v>2.5600000000000002E-3</v>
      </c>
      <c r="B59" s="37">
        <v>1.30609</v>
      </c>
      <c r="E59" s="2">
        <f t="shared" si="0"/>
        <v>1.3094944370431079</v>
      </c>
      <c r="F59">
        <f t="shared" si="1"/>
        <v>-3.4044370431078885E-3</v>
      </c>
      <c r="H59" s="1"/>
    </row>
    <row r="60" spans="1:8" x14ac:dyDescent="0.25">
      <c r="A60" s="37">
        <v>2.8159999999999999E-3</v>
      </c>
      <c r="B60" s="37">
        <v>1.3087299999999999</v>
      </c>
      <c r="E60" s="2">
        <f t="shared" si="0"/>
        <v>1.3077033892743077</v>
      </c>
      <c r="F60">
        <f t="shared" si="1"/>
        <v>1.0266107256922119E-3</v>
      </c>
      <c r="H60" s="1"/>
    </row>
    <row r="61" spans="1:8" x14ac:dyDescent="0.25">
      <c r="A61" s="37">
        <v>3.0720000000000001E-3</v>
      </c>
      <c r="B61" s="37">
        <v>1.30704</v>
      </c>
      <c r="E61" s="2">
        <f t="shared" si="0"/>
        <v>1.3060676938128788</v>
      </c>
      <c r="F61">
        <f t="shared" si="1"/>
        <v>9.7230618712118577E-4</v>
      </c>
      <c r="H61" s="1"/>
    </row>
    <row r="62" spans="1:8" x14ac:dyDescent="0.25">
      <c r="A62" s="37">
        <v>3.3279999999999998E-3</v>
      </c>
      <c r="B62" s="37">
        <v>1.3054300000000001</v>
      </c>
      <c r="E62" s="2">
        <f t="shared" si="0"/>
        <v>1.3045714498699565</v>
      </c>
      <c r="F62">
        <f t="shared" si="1"/>
        <v>8.5855013004354497E-4</v>
      </c>
      <c r="H62" s="1"/>
    </row>
    <row r="63" spans="1:8" x14ac:dyDescent="0.25">
      <c r="A63" s="37">
        <v>3.5839999999999999E-3</v>
      </c>
      <c r="B63" s="37">
        <v>1.3017799999999999</v>
      </c>
      <c r="E63" s="2">
        <f t="shared" si="0"/>
        <v>1.3032003909729006</v>
      </c>
      <c r="F63">
        <f t="shared" si="1"/>
        <v>-1.420390972900698E-3</v>
      </c>
      <c r="H63" s="1"/>
    </row>
    <row r="64" spans="1:8" x14ac:dyDescent="0.25">
      <c r="A64" s="37">
        <v>3.8400000000000001E-3</v>
      </c>
      <c r="B64" s="37">
        <v>1.3064</v>
      </c>
      <c r="E64" s="2">
        <f t="shared" si="0"/>
        <v>1.3019417169428702</v>
      </c>
      <c r="F64">
        <f t="shared" si="1"/>
        <v>4.4582830571298082E-3</v>
      </c>
      <c r="H64" s="1"/>
    </row>
    <row r="65" spans="1:8" x14ac:dyDescent="0.25">
      <c r="A65" s="37">
        <v>4.0959999999999998E-3</v>
      </c>
      <c r="B65" s="37">
        <v>1.30118</v>
      </c>
      <c r="E65" s="2">
        <f t="shared" si="0"/>
        <v>1.3007839431487485</v>
      </c>
      <c r="F65">
        <f t="shared" si="1"/>
        <v>3.9605685125154722E-4</v>
      </c>
      <c r="H65" s="1"/>
    </row>
    <row r="66" spans="1:8" x14ac:dyDescent="0.25">
      <c r="A66" s="37">
        <v>4.6080000000000001E-3</v>
      </c>
      <c r="B66" s="37">
        <v>1.3004</v>
      </c>
      <c r="E66" s="2">
        <f t="shared" si="0"/>
        <v>1.2987309379103271</v>
      </c>
      <c r="F66">
        <f t="shared" si="1"/>
        <v>1.6690620896728792E-3</v>
      </c>
      <c r="H66" s="1"/>
    </row>
    <row r="67" spans="1:8" x14ac:dyDescent="0.25">
      <c r="A67" s="37">
        <v>5.1200000000000004E-3</v>
      </c>
      <c r="B67" s="37">
        <v>1.2964599999999999</v>
      </c>
      <c r="E67" s="2">
        <f t="shared" ref="E67:E130" si="2">$D$2+1/$D$3*($D$8/(1+A67/$D$4)/SQRT(1+A67/$D$4/$D$5/$D$5)+(1-$D$8)/(1+A67/$D$6)/SQRT(1+A67/$D$6/$D$7/$D$7))*(1+$D$9*EXP(-A67/$D$10)+$D$11*EXP(-A67/$D$12))</f>
        <v>1.2969710061572233</v>
      </c>
      <c r="F67">
        <f t="shared" ref="F67:F130" si="3">B67-E67</f>
        <v>-5.1100615722332599E-4</v>
      </c>
      <c r="H67" s="1"/>
    </row>
    <row r="68" spans="1:8" x14ac:dyDescent="0.25">
      <c r="A68" s="37">
        <v>5.6319999999999999E-3</v>
      </c>
      <c r="B68" s="37">
        <v>1.29633</v>
      </c>
      <c r="E68" s="2">
        <f t="shared" si="2"/>
        <v>1.2954474980426351</v>
      </c>
      <c r="F68">
        <f t="shared" si="3"/>
        <v>8.8250195736483406E-4</v>
      </c>
      <c r="H68" s="1"/>
    </row>
    <row r="69" spans="1:8" x14ac:dyDescent="0.25">
      <c r="A69" s="37">
        <v>6.1440000000000002E-3</v>
      </c>
      <c r="B69" s="37">
        <v>1.29451</v>
      </c>
      <c r="E69" s="2">
        <f t="shared" si="2"/>
        <v>1.2941148072877602</v>
      </c>
      <c r="F69">
        <f t="shared" si="3"/>
        <v>3.9519271223986685E-4</v>
      </c>
      <c r="H69" s="1"/>
    </row>
    <row r="70" spans="1:8" x14ac:dyDescent="0.25">
      <c r="A70" s="37">
        <v>6.6559999999999996E-3</v>
      </c>
      <c r="B70" s="37">
        <v>1.29314</v>
      </c>
      <c r="E70" s="2">
        <f t="shared" si="2"/>
        <v>1.2929362173990167</v>
      </c>
      <c r="F70">
        <f t="shared" si="3"/>
        <v>2.0378260098330436E-4</v>
      </c>
      <c r="H70" s="1"/>
    </row>
    <row r="71" spans="1:8" x14ac:dyDescent="0.25">
      <c r="A71" s="37">
        <v>7.1679999999999999E-3</v>
      </c>
      <c r="B71" s="37">
        <v>1.29386</v>
      </c>
      <c r="E71" s="2">
        <f t="shared" si="2"/>
        <v>1.2918821679782448</v>
      </c>
      <c r="F71">
        <f t="shared" si="3"/>
        <v>1.9778320217551659E-3</v>
      </c>
      <c r="H71" s="1"/>
    </row>
    <row r="72" spans="1:8" x14ac:dyDescent="0.25">
      <c r="A72" s="37">
        <v>7.6800000000000002E-3</v>
      </c>
      <c r="B72" s="37">
        <v>1.2934099999999999</v>
      </c>
      <c r="E72" s="2">
        <f t="shared" si="2"/>
        <v>1.2909288591786441</v>
      </c>
      <c r="F72">
        <f t="shared" si="3"/>
        <v>2.481140821355865E-3</v>
      </c>
      <c r="H72" s="1"/>
    </row>
    <row r="73" spans="1:8" x14ac:dyDescent="0.25">
      <c r="A73" s="37">
        <v>8.1919999999999996E-3</v>
      </c>
      <c r="B73" s="37">
        <v>1.2935300000000001</v>
      </c>
      <c r="E73" s="2">
        <f t="shared" si="2"/>
        <v>1.2900571283463005</v>
      </c>
      <c r="F73">
        <f t="shared" si="3"/>
        <v>3.472871653699583E-3</v>
      </c>
      <c r="H73" s="1"/>
    </row>
    <row r="74" spans="1:8" x14ac:dyDescent="0.25">
      <c r="A74" s="37">
        <v>9.2160000000000002E-3</v>
      </c>
      <c r="B74" s="37">
        <v>1.2922</v>
      </c>
      <c r="E74" s="2">
        <f t="shared" si="2"/>
        <v>1.2884996866990086</v>
      </c>
      <c r="F74">
        <f t="shared" si="3"/>
        <v>3.7003133009914091E-3</v>
      </c>
      <c r="H74" s="1"/>
    </row>
    <row r="75" spans="1:8" x14ac:dyDescent="0.25">
      <c r="A75" s="37">
        <v>1.0240000000000001E-2</v>
      </c>
      <c r="B75" s="37">
        <v>1.2901899999999999</v>
      </c>
      <c r="E75" s="2">
        <f t="shared" si="2"/>
        <v>1.2871190640602919</v>
      </c>
      <c r="F75">
        <f t="shared" si="3"/>
        <v>3.070935939708086E-3</v>
      </c>
      <c r="H75" s="1"/>
    </row>
    <row r="76" spans="1:8" x14ac:dyDescent="0.25">
      <c r="A76" s="37">
        <v>1.1264E-2</v>
      </c>
      <c r="B76" s="37">
        <v>1.28905</v>
      </c>
      <c r="E76" s="2">
        <f t="shared" si="2"/>
        <v>1.2858563800219365</v>
      </c>
      <c r="F76">
        <f t="shared" si="3"/>
        <v>3.1936199780635555E-3</v>
      </c>
      <c r="H76" s="1"/>
    </row>
    <row r="77" spans="1:8" x14ac:dyDescent="0.25">
      <c r="A77" s="37">
        <v>1.2288E-2</v>
      </c>
      <c r="B77" s="37">
        <v>1.2875099999999999</v>
      </c>
      <c r="E77" s="2">
        <f t="shared" si="2"/>
        <v>1.2846734267058122</v>
      </c>
      <c r="F77">
        <f t="shared" si="3"/>
        <v>2.8365732941877386E-3</v>
      </c>
      <c r="H77" s="1"/>
    </row>
    <row r="78" spans="1:8" x14ac:dyDescent="0.25">
      <c r="A78" s="37">
        <v>1.3311999999999999E-2</v>
      </c>
      <c r="B78" s="37">
        <v>1.2855700000000001</v>
      </c>
      <c r="E78" s="2">
        <f t="shared" si="2"/>
        <v>1.283545394121054</v>
      </c>
      <c r="F78">
        <f t="shared" si="3"/>
        <v>2.0246058789461507E-3</v>
      </c>
      <c r="H78" s="1"/>
    </row>
    <row r="79" spans="1:8" x14ac:dyDescent="0.25">
      <c r="A79" s="37">
        <v>1.4336E-2</v>
      </c>
      <c r="B79" s="37">
        <v>1.28413</v>
      </c>
      <c r="E79" s="2">
        <f t="shared" si="2"/>
        <v>1.2824561559689074</v>
      </c>
      <c r="F79">
        <f t="shared" si="3"/>
        <v>1.6738440310926084E-3</v>
      </c>
      <c r="H79" s="1"/>
    </row>
    <row r="80" spans="1:8" x14ac:dyDescent="0.25">
      <c r="A80" s="37">
        <v>1.536E-2</v>
      </c>
      <c r="B80" s="37">
        <v>1.2814300000000001</v>
      </c>
      <c r="E80" s="2">
        <f t="shared" si="2"/>
        <v>1.2813952146203729</v>
      </c>
      <c r="F80">
        <f t="shared" si="3"/>
        <v>3.4785379627200186E-5</v>
      </c>
      <c r="H80" s="1"/>
    </row>
    <row r="81" spans="1:8" x14ac:dyDescent="0.25">
      <c r="A81" s="37">
        <v>1.6383999999999999E-2</v>
      </c>
      <c r="B81" s="37">
        <v>1.2807900000000001</v>
      </c>
      <c r="E81" s="2">
        <f t="shared" si="2"/>
        <v>1.2803557212647378</v>
      </c>
      <c r="F81">
        <f t="shared" si="3"/>
        <v>4.3427873526225014E-4</v>
      </c>
      <c r="H81" s="1"/>
    </row>
    <row r="82" spans="1:8" x14ac:dyDescent="0.25">
      <c r="A82" s="37">
        <v>1.8432E-2</v>
      </c>
      <c r="B82" s="37">
        <v>1.2780400000000001</v>
      </c>
      <c r="E82" s="2">
        <f t="shared" si="2"/>
        <v>1.2783246802606405</v>
      </c>
      <c r="F82">
        <f t="shared" si="3"/>
        <v>-2.8468026064043528E-4</v>
      </c>
      <c r="H82" s="1"/>
    </row>
    <row r="83" spans="1:8" x14ac:dyDescent="0.25">
      <c r="A83" s="37">
        <v>2.0480000000000002E-2</v>
      </c>
      <c r="B83" s="37">
        <v>1.2760899999999999</v>
      </c>
      <c r="E83" s="2">
        <f t="shared" si="2"/>
        <v>1.2763425334944238</v>
      </c>
      <c r="F83">
        <f t="shared" si="3"/>
        <v>-2.5253349442388995E-4</v>
      </c>
      <c r="H83" s="1"/>
    </row>
    <row r="84" spans="1:8" x14ac:dyDescent="0.25">
      <c r="A84" s="37">
        <v>2.2527999999999999E-2</v>
      </c>
      <c r="B84" s="37">
        <v>1.27359</v>
      </c>
      <c r="E84" s="2">
        <f t="shared" si="2"/>
        <v>1.2744001213616265</v>
      </c>
      <c r="F84">
        <f t="shared" si="3"/>
        <v>-8.101213616265035E-4</v>
      </c>
      <c r="H84" s="1"/>
    </row>
    <row r="85" spans="1:8" x14ac:dyDescent="0.25">
      <c r="A85" s="37">
        <v>2.4576000000000001E-2</v>
      </c>
      <c r="B85" s="37">
        <v>1.2714399999999999</v>
      </c>
      <c r="E85" s="2">
        <f t="shared" si="2"/>
        <v>1.2724930689019529</v>
      </c>
      <c r="F85">
        <f t="shared" si="3"/>
        <v>-1.0530689019530026E-3</v>
      </c>
      <c r="H85" s="1"/>
    </row>
    <row r="86" spans="1:8" x14ac:dyDescent="0.25">
      <c r="A86" s="37">
        <v>2.6623999999999998E-2</v>
      </c>
      <c r="B86" s="37">
        <v>1.27172</v>
      </c>
      <c r="E86" s="2">
        <f t="shared" si="2"/>
        <v>1.270619031025717</v>
      </c>
      <c r="F86">
        <f t="shared" si="3"/>
        <v>1.1009689742829121E-3</v>
      </c>
      <c r="H86" s="1"/>
    </row>
    <row r="87" spans="1:8" x14ac:dyDescent="0.25">
      <c r="A87" s="37">
        <v>2.8672E-2</v>
      </c>
      <c r="B87" s="37">
        <v>1.26739</v>
      </c>
      <c r="E87" s="2">
        <f t="shared" si="2"/>
        <v>1.2687765342435953</v>
      </c>
      <c r="F87">
        <f t="shared" si="3"/>
        <v>-1.3865342435952499E-3</v>
      </c>
      <c r="H87" s="1"/>
    </row>
    <row r="88" spans="1:8" x14ac:dyDescent="0.25">
      <c r="A88" s="37">
        <v>3.0720000000000001E-2</v>
      </c>
      <c r="B88" s="37">
        <v>1.2658499999999999</v>
      </c>
      <c r="E88" s="2">
        <f t="shared" si="2"/>
        <v>1.2669644891450829</v>
      </c>
      <c r="F88">
        <f t="shared" si="3"/>
        <v>-1.1144891450829419E-3</v>
      </c>
      <c r="H88" s="1"/>
    </row>
    <row r="89" spans="1:8" x14ac:dyDescent="0.25">
      <c r="A89" s="37">
        <v>3.2767999999999999E-2</v>
      </c>
      <c r="B89" s="37">
        <v>1.2638199999999999</v>
      </c>
      <c r="E89" s="2">
        <f t="shared" si="2"/>
        <v>1.2651819847316073</v>
      </c>
      <c r="F89">
        <f t="shared" si="3"/>
        <v>-1.361984731607313E-3</v>
      </c>
      <c r="H89" s="1"/>
    </row>
    <row r="90" spans="1:8" x14ac:dyDescent="0.25">
      <c r="A90" s="37">
        <v>3.6864000000000001E-2</v>
      </c>
      <c r="B90" s="37">
        <v>1.2604299999999999</v>
      </c>
      <c r="E90" s="2">
        <f t="shared" si="2"/>
        <v>1.2617023726773291</v>
      </c>
      <c r="F90">
        <f t="shared" si="3"/>
        <v>-1.2723726773291588E-3</v>
      </c>
      <c r="H90" s="1"/>
    </row>
    <row r="91" spans="1:8" x14ac:dyDescent="0.25">
      <c r="A91" s="37">
        <v>4.0960000000000003E-2</v>
      </c>
      <c r="B91" s="37">
        <v>1.25637</v>
      </c>
      <c r="E91" s="2">
        <f t="shared" si="2"/>
        <v>1.258331696450018</v>
      </c>
      <c r="F91">
        <f t="shared" si="3"/>
        <v>-1.9616964500179801E-3</v>
      </c>
      <c r="H91" s="1"/>
    </row>
    <row r="92" spans="1:8" x14ac:dyDescent="0.25">
      <c r="A92" s="37">
        <v>4.5055999999999999E-2</v>
      </c>
      <c r="B92" s="37">
        <v>1.2532799999999999</v>
      </c>
      <c r="E92" s="2">
        <f t="shared" si="2"/>
        <v>1.255064465929586</v>
      </c>
      <c r="F92">
        <f t="shared" si="3"/>
        <v>-1.7844659295860321E-3</v>
      </c>
      <c r="H92" s="1"/>
    </row>
    <row r="93" spans="1:8" x14ac:dyDescent="0.25">
      <c r="A93" s="37">
        <v>4.9152000000000001E-2</v>
      </c>
      <c r="B93" s="37">
        <v>1.2502500000000001</v>
      </c>
      <c r="E93" s="2">
        <f t="shared" si="2"/>
        <v>1.2518955802437528</v>
      </c>
      <c r="F93">
        <f t="shared" si="3"/>
        <v>-1.6455802437527201E-3</v>
      </c>
      <c r="H93" s="1"/>
    </row>
    <row r="94" spans="1:8" x14ac:dyDescent="0.25">
      <c r="A94" s="37">
        <v>5.3247999999999997E-2</v>
      </c>
      <c r="B94" s="37">
        <v>1.2474799999999999</v>
      </c>
      <c r="E94" s="2">
        <f t="shared" si="2"/>
        <v>1.248820281142486</v>
      </c>
      <c r="F94">
        <f t="shared" si="3"/>
        <v>-1.3402811424860772E-3</v>
      </c>
      <c r="H94" s="1"/>
    </row>
    <row r="95" spans="1:8" x14ac:dyDescent="0.25">
      <c r="A95" s="37">
        <v>5.7343999999999999E-2</v>
      </c>
      <c r="B95" s="37">
        <v>1.2447999999999999</v>
      </c>
      <c r="E95" s="2">
        <f t="shared" si="2"/>
        <v>1.2458341222175846</v>
      </c>
      <c r="F95">
        <f t="shared" si="3"/>
        <v>-1.0341222175846987E-3</v>
      </c>
      <c r="H95" s="1"/>
    </row>
    <row r="96" spans="1:8" x14ac:dyDescent="0.25">
      <c r="A96" s="37">
        <v>6.1440000000000002E-2</v>
      </c>
      <c r="B96" s="37">
        <v>1.2420800000000001</v>
      </c>
      <c r="E96" s="2">
        <f t="shared" si="2"/>
        <v>1.2429329431200591</v>
      </c>
      <c r="F96">
        <f t="shared" si="3"/>
        <v>-8.5294312005901318E-4</v>
      </c>
      <c r="H96" s="1"/>
    </row>
    <row r="97" spans="1:8" x14ac:dyDescent="0.25">
      <c r="A97" s="37">
        <v>6.5535999999999997E-2</v>
      </c>
      <c r="B97" s="37">
        <v>1.2387300000000001</v>
      </c>
      <c r="E97" s="2">
        <f t="shared" si="2"/>
        <v>1.2401128466119788</v>
      </c>
      <c r="F97">
        <f t="shared" si="3"/>
        <v>-1.3828466119787386E-3</v>
      </c>
      <c r="H97" s="1"/>
    </row>
    <row r="98" spans="1:8" x14ac:dyDescent="0.25">
      <c r="A98" s="37">
        <v>7.3728000000000002E-2</v>
      </c>
      <c r="B98" s="37">
        <v>1.2327600000000001</v>
      </c>
      <c r="E98" s="2">
        <f t="shared" si="2"/>
        <v>1.234701505643294</v>
      </c>
      <c r="F98">
        <f t="shared" si="3"/>
        <v>-1.9415056432938727E-3</v>
      </c>
      <c r="H98" s="1"/>
    </row>
    <row r="99" spans="1:8" x14ac:dyDescent="0.25">
      <c r="A99" s="37">
        <v>8.1920000000000007E-2</v>
      </c>
      <c r="B99" s="37">
        <v>1.2285299999999999</v>
      </c>
      <c r="E99" s="2">
        <f t="shared" si="2"/>
        <v>1.2295734434696175</v>
      </c>
      <c r="F99">
        <f t="shared" si="3"/>
        <v>-1.0434434696175998E-3</v>
      </c>
      <c r="H99" s="1"/>
    </row>
    <row r="100" spans="1:8" x14ac:dyDescent="0.25">
      <c r="A100" s="37">
        <v>9.0111999999999998E-2</v>
      </c>
      <c r="B100" s="37">
        <v>1.2228399999999999</v>
      </c>
      <c r="E100" s="2">
        <f t="shared" si="2"/>
        <v>1.2247050727151783</v>
      </c>
      <c r="F100">
        <f t="shared" si="3"/>
        <v>-1.8650727151783286E-3</v>
      </c>
      <c r="H100" s="1"/>
    </row>
    <row r="101" spans="1:8" x14ac:dyDescent="0.25">
      <c r="A101" s="37">
        <v>9.8304000000000002E-2</v>
      </c>
      <c r="B101" s="37">
        <v>1.2186699999999999</v>
      </c>
      <c r="E101" s="2">
        <f t="shared" si="2"/>
        <v>1.2200754403077603</v>
      </c>
      <c r="F101">
        <f t="shared" si="3"/>
        <v>-1.4054403077603528E-3</v>
      </c>
      <c r="H101" s="1"/>
    </row>
    <row r="102" spans="1:8" x14ac:dyDescent="0.25">
      <c r="A102" s="37">
        <v>0.10649599999999999</v>
      </c>
      <c r="B102" s="37">
        <v>1.2140200000000001</v>
      </c>
      <c r="E102" s="2">
        <f t="shared" si="2"/>
        <v>1.2156658652993675</v>
      </c>
      <c r="F102">
        <f t="shared" si="3"/>
        <v>-1.6458652993673883E-3</v>
      </c>
      <c r="H102" s="1"/>
    </row>
    <row r="103" spans="1:8" x14ac:dyDescent="0.25">
      <c r="A103" s="37">
        <v>0.114688</v>
      </c>
      <c r="B103" s="37">
        <v>1.2093400000000001</v>
      </c>
      <c r="E103" s="2">
        <f t="shared" si="2"/>
        <v>1.2114596351001876</v>
      </c>
      <c r="F103">
        <f t="shared" si="3"/>
        <v>-2.1196351001875335E-3</v>
      </c>
      <c r="H103" s="1"/>
    </row>
    <row r="104" spans="1:8" x14ac:dyDescent="0.25">
      <c r="A104" s="37">
        <v>0.12288</v>
      </c>
      <c r="B104" s="37">
        <v>1.2057800000000001</v>
      </c>
      <c r="E104" s="2">
        <f t="shared" si="2"/>
        <v>1.2074417494049547</v>
      </c>
      <c r="F104">
        <f t="shared" si="3"/>
        <v>-1.661749404954671E-3</v>
      </c>
      <c r="H104" s="1"/>
    </row>
    <row r="105" spans="1:8" x14ac:dyDescent="0.25">
      <c r="A105" s="37">
        <v>0.13107199999999999</v>
      </c>
      <c r="B105" s="37">
        <v>1.20173</v>
      </c>
      <c r="E105" s="2">
        <f t="shared" si="2"/>
        <v>1.2035987032834372</v>
      </c>
      <c r="F105">
        <f t="shared" si="3"/>
        <v>-1.8687032834372452E-3</v>
      </c>
      <c r="H105" s="1"/>
    </row>
    <row r="106" spans="1:8" x14ac:dyDescent="0.25">
      <c r="A106" s="37">
        <v>0.147456</v>
      </c>
      <c r="B106" s="37">
        <v>1.1951799999999999</v>
      </c>
      <c r="E106" s="2">
        <f t="shared" si="2"/>
        <v>1.1963895063144876</v>
      </c>
      <c r="F106">
        <f t="shared" si="3"/>
        <v>-1.209506314487685E-3</v>
      </c>
      <c r="H106" s="1"/>
    </row>
    <row r="107" spans="1:8" x14ac:dyDescent="0.25">
      <c r="A107" s="37">
        <v>0.16384000000000001</v>
      </c>
      <c r="B107" s="37">
        <v>1.1884699999999999</v>
      </c>
      <c r="E107" s="2">
        <f t="shared" si="2"/>
        <v>1.1897475345885367</v>
      </c>
      <c r="F107">
        <f t="shared" si="3"/>
        <v>-1.277534588536744E-3</v>
      </c>
      <c r="H107" s="1"/>
    </row>
    <row r="108" spans="1:8" x14ac:dyDescent="0.25">
      <c r="A108" s="37">
        <v>0.180224</v>
      </c>
      <c r="B108" s="37">
        <v>1.1822699999999999</v>
      </c>
      <c r="E108" s="2">
        <f t="shared" si="2"/>
        <v>1.1836028230705069</v>
      </c>
      <c r="F108">
        <f t="shared" si="3"/>
        <v>-1.3328230705069721E-3</v>
      </c>
      <c r="H108" s="1"/>
    </row>
    <row r="109" spans="1:8" x14ac:dyDescent="0.25">
      <c r="A109" s="37">
        <v>0.196608</v>
      </c>
      <c r="B109" s="37">
        <v>1.17719</v>
      </c>
      <c r="E109" s="2">
        <f t="shared" si="2"/>
        <v>1.1778969026253752</v>
      </c>
      <c r="F109">
        <f t="shared" si="3"/>
        <v>-7.0690262537520532E-4</v>
      </c>
      <c r="H109" s="1"/>
    </row>
    <row r="110" spans="1:8" x14ac:dyDescent="0.25">
      <c r="A110" s="37">
        <v>0.21299199999999999</v>
      </c>
      <c r="B110" s="37">
        <v>1.1718299999999999</v>
      </c>
      <c r="E110" s="2">
        <f t="shared" si="2"/>
        <v>1.1725804923362153</v>
      </c>
      <c r="F110">
        <f t="shared" si="3"/>
        <v>-7.5049233621538036E-4</v>
      </c>
      <c r="H110" s="1"/>
    </row>
    <row r="111" spans="1:8" x14ac:dyDescent="0.25">
      <c r="A111" s="37">
        <v>0.229376</v>
      </c>
      <c r="B111" s="37">
        <v>1.1669099999999999</v>
      </c>
      <c r="E111" s="2">
        <f t="shared" si="2"/>
        <v>1.1676117302929072</v>
      </c>
      <c r="F111">
        <f t="shared" si="3"/>
        <v>-7.0173029290732103E-4</v>
      </c>
      <c r="H111" s="1"/>
    </row>
    <row r="112" spans="1:8" x14ac:dyDescent="0.25">
      <c r="A112" s="37">
        <v>0.24576000000000001</v>
      </c>
      <c r="B112" s="37">
        <v>1.16195</v>
      </c>
      <c r="E112" s="2">
        <f t="shared" si="2"/>
        <v>1.1629548012893696</v>
      </c>
      <c r="F112">
        <f t="shared" si="3"/>
        <v>-1.004801289369528E-3</v>
      </c>
      <c r="H112" s="1"/>
    </row>
    <row r="113" spans="1:8" x14ac:dyDescent="0.25">
      <c r="A113" s="37">
        <v>0.26214399999999999</v>
      </c>
      <c r="B113" s="37">
        <v>1.1579900000000001</v>
      </c>
      <c r="E113" s="2">
        <f t="shared" si="2"/>
        <v>1.1585788609197061</v>
      </c>
      <c r="F113">
        <f t="shared" si="3"/>
        <v>-5.8886091970600241E-4</v>
      </c>
      <c r="H113" s="1"/>
    </row>
    <row r="114" spans="1:8" x14ac:dyDescent="0.25">
      <c r="A114" s="37">
        <v>0.29491200000000001</v>
      </c>
      <c r="B114" s="37">
        <v>1.15005</v>
      </c>
      <c r="E114" s="2">
        <f t="shared" si="2"/>
        <v>1.1505664822686421</v>
      </c>
      <c r="F114">
        <f t="shared" si="3"/>
        <v>-5.1648226864209335E-4</v>
      </c>
      <c r="H114" s="1"/>
    </row>
    <row r="115" spans="1:8" x14ac:dyDescent="0.25">
      <c r="A115" s="37">
        <v>0.32768000000000003</v>
      </c>
      <c r="B115" s="37">
        <v>1.14307</v>
      </c>
      <c r="E115" s="2">
        <f t="shared" si="2"/>
        <v>1.1433988602590583</v>
      </c>
      <c r="F115">
        <f t="shared" si="3"/>
        <v>-3.2886025905831673E-4</v>
      </c>
      <c r="H115" s="1"/>
    </row>
    <row r="116" spans="1:8" x14ac:dyDescent="0.25">
      <c r="A116" s="37">
        <v>0.36044799999999999</v>
      </c>
      <c r="B116" s="37">
        <v>1.1367400000000001</v>
      </c>
      <c r="E116" s="2">
        <f t="shared" si="2"/>
        <v>1.1369400191480046</v>
      </c>
      <c r="F116">
        <f t="shared" si="3"/>
        <v>-2.0001914800449327E-4</v>
      </c>
      <c r="H116" s="1"/>
    </row>
    <row r="117" spans="1:8" x14ac:dyDescent="0.25">
      <c r="A117" s="37">
        <v>0.39321600000000001</v>
      </c>
      <c r="B117" s="37">
        <v>1.1308199999999999</v>
      </c>
      <c r="E117" s="2">
        <f t="shared" si="2"/>
        <v>1.1310828630399825</v>
      </c>
      <c r="F117">
        <f t="shared" si="3"/>
        <v>-2.6286303998257488E-4</v>
      </c>
      <c r="H117" s="1"/>
    </row>
    <row r="118" spans="1:8" x14ac:dyDescent="0.25">
      <c r="A118" s="37">
        <v>0.42598399999999997</v>
      </c>
      <c r="B118" s="37">
        <v>1.1256200000000001</v>
      </c>
      <c r="E118" s="2">
        <f t="shared" si="2"/>
        <v>1.1257417231031732</v>
      </c>
      <c r="F118">
        <f t="shared" si="3"/>
        <v>-1.2172310317315471E-4</v>
      </c>
      <c r="H118" s="1"/>
    </row>
    <row r="119" spans="1:8" x14ac:dyDescent="0.25">
      <c r="A119" s="37">
        <v>0.45875199999999999</v>
      </c>
      <c r="B119" s="37">
        <v>1.1207400000000001</v>
      </c>
      <c r="E119" s="2">
        <f t="shared" si="2"/>
        <v>1.1208471274563063</v>
      </c>
      <c r="F119">
        <f t="shared" si="3"/>
        <v>-1.071274563062552E-4</v>
      </c>
      <c r="H119" s="1"/>
    </row>
    <row r="120" spans="1:8" x14ac:dyDescent="0.25">
      <c r="A120" s="37">
        <v>0.49152000000000001</v>
      </c>
      <c r="B120" s="37">
        <v>1.1165</v>
      </c>
      <c r="E120" s="2">
        <f t="shared" si="2"/>
        <v>1.1163420519280314</v>
      </c>
      <c r="F120">
        <f t="shared" si="3"/>
        <v>1.5794807196867211E-4</v>
      </c>
      <c r="H120" s="1"/>
    </row>
    <row r="121" spans="1:8" x14ac:dyDescent="0.25">
      <c r="A121" s="37">
        <v>0.52428799999999998</v>
      </c>
      <c r="B121" s="37">
        <v>1.1123499999999999</v>
      </c>
      <c r="E121" s="2">
        <f t="shared" si="2"/>
        <v>1.1121791809596657</v>
      </c>
      <c r="F121">
        <f t="shared" si="3"/>
        <v>1.7081904033422468E-4</v>
      </c>
      <c r="H121" s="1"/>
    </row>
    <row r="122" spans="1:8" x14ac:dyDescent="0.25">
      <c r="A122" s="37">
        <v>0.58982400000000001</v>
      </c>
      <c r="B122" s="37">
        <v>1.10494</v>
      </c>
      <c r="E122" s="2">
        <f t="shared" si="2"/>
        <v>1.1047276206956378</v>
      </c>
      <c r="F122">
        <f t="shared" si="3"/>
        <v>2.1237930436224239E-4</v>
      </c>
      <c r="H122" s="1"/>
    </row>
    <row r="123" spans="1:8" x14ac:dyDescent="0.25">
      <c r="A123" s="37">
        <v>0.65536000000000005</v>
      </c>
      <c r="B123" s="37">
        <v>1.09839</v>
      </c>
      <c r="E123" s="2">
        <f t="shared" si="2"/>
        <v>1.0982421708471959</v>
      </c>
      <c r="F123">
        <f t="shared" si="3"/>
        <v>1.4782915280409092E-4</v>
      </c>
      <c r="H123" s="1"/>
    </row>
    <row r="124" spans="1:8" x14ac:dyDescent="0.25">
      <c r="A124" s="37">
        <v>0.72089599999999998</v>
      </c>
      <c r="B124" s="37">
        <v>1.0928800000000001</v>
      </c>
      <c r="E124" s="2">
        <f t="shared" si="2"/>
        <v>1.0925389804723724</v>
      </c>
      <c r="F124">
        <f t="shared" si="3"/>
        <v>3.4101952762766174E-4</v>
      </c>
      <c r="H124" s="1"/>
    </row>
    <row r="125" spans="1:8" x14ac:dyDescent="0.25">
      <c r="A125" s="37">
        <v>0.78643200000000002</v>
      </c>
      <c r="B125" s="37">
        <v>1.0881400000000001</v>
      </c>
      <c r="E125" s="2">
        <f t="shared" si="2"/>
        <v>1.0874794840036928</v>
      </c>
      <c r="F125">
        <f t="shared" si="3"/>
        <v>6.6051599630734259E-4</v>
      </c>
      <c r="H125" s="1"/>
    </row>
    <row r="126" spans="1:8" x14ac:dyDescent="0.25">
      <c r="A126" s="37">
        <v>0.85196799999999995</v>
      </c>
      <c r="B126" s="37">
        <v>1.0836699999999999</v>
      </c>
      <c r="E126" s="2">
        <f t="shared" si="2"/>
        <v>1.0829569664082215</v>
      </c>
      <c r="F126">
        <f t="shared" si="3"/>
        <v>7.1303359177843362E-4</v>
      </c>
      <c r="H126" s="1"/>
    </row>
    <row r="127" spans="1:8" x14ac:dyDescent="0.25">
      <c r="A127" s="37">
        <v>0.91750399999999999</v>
      </c>
      <c r="B127" s="37">
        <v>1.0799799999999999</v>
      </c>
      <c r="E127" s="2">
        <f t="shared" si="2"/>
        <v>1.078887714046658</v>
      </c>
      <c r="F127">
        <f t="shared" si="3"/>
        <v>1.0922859533419871E-3</v>
      </c>
      <c r="H127" s="1"/>
    </row>
    <row r="128" spans="1:8" x14ac:dyDescent="0.25">
      <c r="A128" s="37">
        <v>0.98304000000000002</v>
      </c>
      <c r="B128" s="37">
        <v>1.07609</v>
      </c>
      <c r="E128" s="2">
        <f t="shared" si="2"/>
        <v>1.0752050051455626</v>
      </c>
      <c r="F128">
        <f t="shared" si="3"/>
        <v>8.8499485443738202E-4</v>
      </c>
      <c r="H128" s="1"/>
    </row>
    <row r="129" spans="1:8" x14ac:dyDescent="0.25">
      <c r="A129" s="37">
        <v>1.048576</v>
      </c>
      <c r="B129" s="37">
        <v>1.0728899999999999</v>
      </c>
      <c r="E129" s="2">
        <f t="shared" si="2"/>
        <v>1.071854919559418</v>
      </c>
      <c r="F129">
        <f t="shared" si="3"/>
        <v>1.0350804405818703E-3</v>
      </c>
      <c r="H129" s="1"/>
    </row>
    <row r="130" spans="1:8" x14ac:dyDescent="0.25">
      <c r="A130" s="37">
        <v>1.179648</v>
      </c>
      <c r="B130" s="37">
        <v>1.06701</v>
      </c>
      <c r="E130" s="2">
        <f t="shared" si="2"/>
        <v>1.0659838209267483</v>
      </c>
      <c r="F130">
        <f t="shared" si="3"/>
        <v>1.0261790732517539E-3</v>
      </c>
      <c r="H130" s="1"/>
    </row>
    <row r="131" spans="1:8" x14ac:dyDescent="0.25">
      <c r="A131" s="37">
        <v>1.3107200000000001</v>
      </c>
      <c r="B131" s="37">
        <v>1.06253</v>
      </c>
      <c r="E131" s="2">
        <f t="shared" ref="E131:E194" si="4">$D$2+1/$D$3*($D$8/(1+A131/$D$4)/SQRT(1+A131/$D$4/$D$5/$D$5)+(1-$D$8)/(1+A131/$D$6)/SQRT(1+A131/$D$6/$D$7/$D$7))*(1+$D$9*EXP(-A131/$D$10)+$D$11*EXP(-A131/$D$12))</f>
        <v>1.0610038955587757</v>
      </c>
      <c r="F131">
        <f t="shared" ref="F131:F194" si="5">B131-E131</f>
        <v>1.5261044412242519E-3</v>
      </c>
      <c r="H131" s="1"/>
    </row>
    <row r="132" spans="1:8" x14ac:dyDescent="0.25">
      <c r="A132" s="37">
        <v>1.441792</v>
      </c>
      <c r="B132" s="37">
        <v>1.0582400000000001</v>
      </c>
      <c r="E132" s="2">
        <f t="shared" si="4"/>
        <v>1.0567238648620556</v>
      </c>
      <c r="F132">
        <f t="shared" si="5"/>
        <v>1.5161351379444632E-3</v>
      </c>
      <c r="H132" s="1"/>
    </row>
    <row r="133" spans="1:8" x14ac:dyDescent="0.25">
      <c r="A133" s="37">
        <v>1.572864</v>
      </c>
      <c r="B133" s="37">
        <v>1.0545599999999999</v>
      </c>
      <c r="E133" s="2">
        <f t="shared" si="4"/>
        <v>1.0530042883063997</v>
      </c>
      <c r="F133">
        <f t="shared" si="5"/>
        <v>1.555711693600248E-3</v>
      </c>
      <c r="H133" s="1"/>
    </row>
    <row r="134" spans="1:8" x14ac:dyDescent="0.25">
      <c r="A134" s="37">
        <v>1.7039359999999999</v>
      </c>
      <c r="B134" s="37">
        <v>1.0514399999999999</v>
      </c>
      <c r="E134" s="2">
        <f t="shared" si="4"/>
        <v>1.0497409110476894</v>
      </c>
      <c r="F134">
        <f t="shared" si="5"/>
        <v>1.6990889523105235E-3</v>
      </c>
      <c r="H134" s="1"/>
    </row>
    <row r="135" spans="1:8" x14ac:dyDescent="0.25">
      <c r="A135" s="37">
        <v>1.835008</v>
      </c>
      <c r="B135" s="37">
        <v>1.04871</v>
      </c>
      <c r="E135" s="2">
        <f t="shared" si="4"/>
        <v>1.0468541050977573</v>
      </c>
      <c r="F135">
        <f t="shared" si="5"/>
        <v>1.855894902242694E-3</v>
      </c>
      <c r="H135" s="1"/>
    </row>
    <row r="136" spans="1:8" x14ac:dyDescent="0.25">
      <c r="A136" s="37">
        <v>1.96608</v>
      </c>
      <c r="B136" s="37">
        <v>1.0462800000000001</v>
      </c>
      <c r="E136" s="2">
        <f t="shared" si="4"/>
        <v>1.0442819318800853</v>
      </c>
      <c r="F136">
        <f t="shared" si="5"/>
        <v>1.9980681199147643E-3</v>
      </c>
      <c r="H136" s="1"/>
    </row>
    <row r="137" spans="1:8" x14ac:dyDescent="0.25">
      <c r="A137" s="37">
        <v>2.0971519999999999</v>
      </c>
      <c r="B137" s="37">
        <v>1.04399</v>
      </c>
      <c r="E137" s="2">
        <f t="shared" si="4"/>
        <v>1.0419754446388032</v>
      </c>
      <c r="F137">
        <f t="shared" si="5"/>
        <v>2.0145553611967681E-3</v>
      </c>
      <c r="H137" s="1"/>
    </row>
    <row r="138" spans="1:8" x14ac:dyDescent="0.25">
      <c r="A138" s="37">
        <v>2.3592960000000001</v>
      </c>
      <c r="B138" s="37">
        <v>1.03983</v>
      </c>
      <c r="E138" s="2">
        <f t="shared" si="4"/>
        <v>1.0380100583183705</v>
      </c>
      <c r="F138">
        <f t="shared" si="5"/>
        <v>1.8199416816295777E-3</v>
      </c>
      <c r="H138" s="1"/>
    </row>
    <row r="139" spans="1:8" x14ac:dyDescent="0.25">
      <c r="A139" s="37">
        <v>2.6214400000000002</v>
      </c>
      <c r="B139" s="37">
        <v>1.0366200000000001</v>
      </c>
      <c r="E139" s="2">
        <f t="shared" si="4"/>
        <v>1.0347234312481954</v>
      </c>
      <c r="F139">
        <f t="shared" si="5"/>
        <v>1.8965687518046614E-3</v>
      </c>
      <c r="H139" s="1"/>
    </row>
    <row r="140" spans="1:8" x14ac:dyDescent="0.25">
      <c r="A140" s="37">
        <v>2.8835839999999999</v>
      </c>
      <c r="B140" s="37">
        <v>1.0342</v>
      </c>
      <c r="E140" s="2">
        <f t="shared" si="4"/>
        <v>1.0319553393887153</v>
      </c>
      <c r="F140">
        <f t="shared" si="5"/>
        <v>2.244660611284699E-3</v>
      </c>
      <c r="H140" s="1"/>
    </row>
    <row r="141" spans="1:8" x14ac:dyDescent="0.25">
      <c r="A141" s="37">
        <v>3.1457280000000001</v>
      </c>
      <c r="B141" s="37">
        <v>1.0315799999999999</v>
      </c>
      <c r="E141" s="2">
        <f t="shared" si="4"/>
        <v>1.029592464675823</v>
      </c>
      <c r="F141">
        <f t="shared" si="5"/>
        <v>1.9875353241769478E-3</v>
      </c>
      <c r="H141" s="1"/>
    </row>
    <row r="142" spans="1:8" x14ac:dyDescent="0.25">
      <c r="A142" s="37">
        <v>3.4078719999999998</v>
      </c>
      <c r="B142" s="37">
        <v>1.02946</v>
      </c>
      <c r="E142" s="2">
        <f t="shared" si="4"/>
        <v>1.0275523387052485</v>
      </c>
      <c r="F142">
        <f t="shared" si="5"/>
        <v>1.9076612947515059E-3</v>
      </c>
      <c r="H142" s="1"/>
    </row>
    <row r="143" spans="1:8" x14ac:dyDescent="0.25">
      <c r="A143" s="37">
        <v>3.6700159999999999</v>
      </c>
      <c r="B143" s="37">
        <v>1.0276799999999999</v>
      </c>
      <c r="E143" s="2">
        <f t="shared" si="4"/>
        <v>1.0257734816616559</v>
      </c>
      <c r="F143">
        <f t="shared" si="5"/>
        <v>1.9065183383439877E-3</v>
      </c>
      <c r="H143" s="1"/>
    </row>
    <row r="144" spans="1:8" x14ac:dyDescent="0.25">
      <c r="A144" s="37">
        <v>3.9321600000000001</v>
      </c>
      <c r="B144" s="37">
        <v>1.0262100000000001</v>
      </c>
      <c r="E144" s="2">
        <f t="shared" si="4"/>
        <v>1.0242091077229654</v>
      </c>
      <c r="F144">
        <f t="shared" si="5"/>
        <v>2.0008922770347048E-3</v>
      </c>
      <c r="H144" s="1"/>
    </row>
    <row r="145" spans="1:8" x14ac:dyDescent="0.25">
      <c r="A145" s="37">
        <v>4.1943039999999998</v>
      </c>
      <c r="B145" s="37">
        <v>1.0248600000000001</v>
      </c>
      <c r="E145" s="2">
        <f t="shared" si="4"/>
        <v>1.0228229735207159</v>
      </c>
      <c r="F145">
        <f t="shared" si="5"/>
        <v>2.0370264792841652E-3</v>
      </c>
      <c r="H145" s="1"/>
    </row>
    <row r="146" spans="1:8" x14ac:dyDescent="0.25">
      <c r="A146" s="37">
        <v>4.7185920000000001</v>
      </c>
      <c r="B146" s="37">
        <v>1.0223199999999999</v>
      </c>
      <c r="E146" s="2">
        <f t="shared" si="4"/>
        <v>1.0204771253227503</v>
      </c>
      <c r="F146">
        <f t="shared" si="5"/>
        <v>1.8428746772496396E-3</v>
      </c>
      <c r="H146" s="1"/>
    </row>
    <row r="147" spans="1:8" x14ac:dyDescent="0.25">
      <c r="A147" s="37">
        <v>5.2428800000000004</v>
      </c>
      <c r="B147" s="37">
        <v>1.02047</v>
      </c>
      <c r="E147" s="2">
        <f t="shared" si="4"/>
        <v>1.0185690727795647</v>
      </c>
      <c r="F147">
        <f t="shared" si="5"/>
        <v>1.9009272204353334E-3</v>
      </c>
      <c r="H147" s="1"/>
    </row>
    <row r="148" spans="1:8" x14ac:dyDescent="0.25">
      <c r="A148" s="37">
        <v>5.7671679999999999</v>
      </c>
      <c r="B148" s="37">
        <v>1.01953</v>
      </c>
      <c r="E148" s="2">
        <f t="shared" si="4"/>
        <v>1.0169880832562068</v>
      </c>
      <c r="F148">
        <f t="shared" si="5"/>
        <v>2.5419167437932266E-3</v>
      </c>
      <c r="H148" s="1"/>
    </row>
    <row r="149" spans="1:8" x14ac:dyDescent="0.25">
      <c r="A149" s="37">
        <v>6.2914560000000002</v>
      </c>
      <c r="B149" s="37">
        <v>1.0182500000000001</v>
      </c>
      <c r="E149" s="2">
        <f t="shared" si="4"/>
        <v>1.0156577784000755</v>
      </c>
      <c r="F149">
        <f t="shared" si="5"/>
        <v>2.5922215999245601E-3</v>
      </c>
      <c r="H149" s="1"/>
    </row>
    <row r="150" spans="1:8" x14ac:dyDescent="0.25">
      <c r="A150" s="37">
        <v>6.8157439999999996</v>
      </c>
      <c r="B150" s="37">
        <v>1.01658</v>
      </c>
      <c r="E150" s="2">
        <f t="shared" si="4"/>
        <v>1.0145237725501666</v>
      </c>
      <c r="F150">
        <f t="shared" si="5"/>
        <v>2.0562274498334698E-3</v>
      </c>
      <c r="H150" s="1"/>
    </row>
    <row r="151" spans="1:8" x14ac:dyDescent="0.25">
      <c r="A151" s="37">
        <v>7.3400319999999999</v>
      </c>
      <c r="B151" s="37">
        <v>1.0152600000000001</v>
      </c>
      <c r="E151" s="2">
        <f t="shared" si="4"/>
        <v>1.0135462928244168</v>
      </c>
      <c r="F151">
        <f t="shared" si="5"/>
        <v>1.7137071755832789E-3</v>
      </c>
      <c r="H151" s="1"/>
    </row>
    <row r="152" spans="1:8" x14ac:dyDescent="0.25">
      <c r="A152" s="37">
        <v>7.8643200000000002</v>
      </c>
      <c r="B152" s="37">
        <v>1.0142800000000001</v>
      </c>
      <c r="E152" s="2">
        <f t="shared" si="4"/>
        <v>1.0126955846421117</v>
      </c>
      <c r="F152">
        <f t="shared" si="5"/>
        <v>1.5844153578883358E-3</v>
      </c>
      <c r="H152" s="1"/>
    </row>
    <row r="153" spans="1:8" x14ac:dyDescent="0.25">
      <c r="A153" s="37">
        <v>8.3886079999999996</v>
      </c>
      <c r="B153" s="37">
        <v>1.0130300000000001</v>
      </c>
      <c r="E153" s="2">
        <f t="shared" si="4"/>
        <v>1.0119489481633095</v>
      </c>
      <c r="F153">
        <f t="shared" si="5"/>
        <v>1.0810518366906052E-3</v>
      </c>
      <c r="H153" s="1"/>
    </row>
    <row r="154" spans="1:8" x14ac:dyDescent="0.25">
      <c r="A154" s="37">
        <v>9.4371840000000002</v>
      </c>
      <c r="B154" s="37">
        <v>1.0116099999999999</v>
      </c>
      <c r="E154" s="2">
        <f t="shared" si="4"/>
        <v>1.010701166647378</v>
      </c>
      <c r="F154">
        <f t="shared" si="5"/>
        <v>9.0883335262192944E-4</v>
      </c>
      <c r="H154" s="1"/>
    </row>
    <row r="155" spans="1:8" x14ac:dyDescent="0.25">
      <c r="A155" s="37">
        <v>10.485760000000001</v>
      </c>
      <c r="B155" s="37">
        <v>1.0100899999999999</v>
      </c>
      <c r="E155" s="2">
        <f t="shared" si="4"/>
        <v>1.0097015208700986</v>
      </c>
      <c r="F155">
        <f t="shared" si="5"/>
        <v>3.8847912990136457E-4</v>
      </c>
      <c r="H155" s="1"/>
    </row>
    <row r="156" spans="1:8" x14ac:dyDescent="0.25">
      <c r="A156" s="37">
        <v>11.534336</v>
      </c>
      <c r="B156" s="37">
        <v>1.0088600000000001</v>
      </c>
      <c r="E156" s="2">
        <f t="shared" si="4"/>
        <v>1.008884145067241</v>
      </c>
      <c r="F156">
        <f t="shared" si="5"/>
        <v>-2.4145067240910478E-5</v>
      </c>
      <c r="H156" s="1"/>
    </row>
    <row r="157" spans="1:8" x14ac:dyDescent="0.25">
      <c r="A157" s="37">
        <v>12.582912</v>
      </c>
      <c r="B157" s="37">
        <v>1.0079199999999999</v>
      </c>
      <c r="E157" s="2">
        <f t="shared" si="4"/>
        <v>1.0082044386411337</v>
      </c>
      <c r="F157">
        <f t="shared" si="5"/>
        <v>-2.8443864113381068E-4</v>
      </c>
      <c r="H157" s="1"/>
    </row>
    <row r="158" spans="1:8" x14ac:dyDescent="0.25">
      <c r="A158" s="37">
        <v>13.631487999999999</v>
      </c>
      <c r="B158" s="37">
        <v>1.00647</v>
      </c>
      <c r="E158" s="2">
        <f t="shared" si="4"/>
        <v>1.0076311472669628</v>
      </c>
      <c r="F158">
        <f t="shared" si="5"/>
        <v>-1.1611472669628142E-3</v>
      </c>
      <c r="H158" s="1"/>
    </row>
    <row r="159" spans="1:8" x14ac:dyDescent="0.25">
      <c r="A159" s="37">
        <v>14.680064</v>
      </c>
      <c r="B159" s="37">
        <v>1.00654</v>
      </c>
      <c r="E159" s="2">
        <f t="shared" si="4"/>
        <v>1.0071417333405703</v>
      </c>
      <c r="F159">
        <f t="shared" si="5"/>
        <v>-6.0173334057034289E-4</v>
      </c>
      <c r="H159" s="1"/>
    </row>
    <row r="160" spans="1:8" x14ac:dyDescent="0.25">
      <c r="A160" s="37">
        <v>15.72864</v>
      </c>
      <c r="B160" s="37">
        <v>1.00613</v>
      </c>
      <c r="E160" s="2">
        <f t="shared" si="4"/>
        <v>1.0067195457843783</v>
      </c>
      <c r="F160">
        <f t="shared" si="5"/>
        <v>-5.8954578437830918E-4</v>
      </c>
      <c r="H160" s="1"/>
    </row>
    <row r="161" spans="1:8" x14ac:dyDescent="0.25">
      <c r="A161" s="37">
        <v>16.777215999999999</v>
      </c>
      <c r="B161" s="37">
        <v>1.00657</v>
      </c>
      <c r="E161" s="2">
        <f t="shared" si="4"/>
        <v>1.0063520235016608</v>
      </c>
      <c r="F161">
        <f t="shared" si="5"/>
        <v>2.1797649833921184E-4</v>
      </c>
      <c r="H161" s="1"/>
    </row>
    <row r="162" spans="1:8" x14ac:dyDescent="0.25">
      <c r="A162" s="37">
        <v>18.874368</v>
      </c>
      <c r="B162" s="37">
        <v>1.00604</v>
      </c>
      <c r="E162" s="2">
        <f t="shared" si="4"/>
        <v>1.0057444980749237</v>
      </c>
      <c r="F162">
        <f t="shared" si="5"/>
        <v>2.9550192507632467E-4</v>
      </c>
      <c r="H162" s="1"/>
    </row>
    <row r="163" spans="1:8" x14ac:dyDescent="0.25">
      <c r="A163" s="37">
        <v>20.971520000000002</v>
      </c>
      <c r="B163" s="37">
        <v>1.0054399999999999</v>
      </c>
      <c r="E163" s="2">
        <f t="shared" si="4"/>
        <v>1.0052642611117872</v>
      </c>
      <c r="F163">
        <f t="shared" si="5"/>
        <v>1.7573888821265093E-4</v>
      </c>
      <c r="H163" s="1"/>
    </row>
    <row r="164" spans="1:8" x14ac:dyDescent="0.25">
      <c r="A164" s="37">
        <v>23.068671999999999</v>
      </c>
      <c r="B164" s="37">
        <v>1.0050699999999999</v>
      </c>
      <c r="E164" s="2">
        <f t="shared" si="4"/>
        <v>1.0048762411526546</v>
      </c>
      <c r="F164">
        <f t="shared" si="5"/>
        <v>1.9375884734529336E-4</v>
      </c>
      <c r="H164" s="1"/>
    </row>
    <row r="165" spans="1:8" x14ac:dyDescent="0.25">
      <c r="A165" s="37">
        <v>25.165824000000001</v>
      </c>
      <c r="B165" s="37">
        <v>1.0049300000000001</v>
      </c>
      <c r="E165" s="2">
        <f t="shared" si="4"/>
        <v>1.0045570233677941</v>
      </c>
      <c r="F165">
        <f t="shared" si="5"/>
        <v>3.7297663220603461E-4</v>
      </c>
      <c r="H165" s="1"/>
    </row>
    <row r="166" spans="1:8" x14ac:dyDescent="0.25">
      <c r="A166" s="37">
        <v>27.262975999999998</v>
      </c>
      <c r="B166" s="37">
        <v>1.0043299999999999</v>
      </c>
      <c r="E166" s="2">
        <f t="shared" si="4"/>
        <v>1.0042904032449151</v>
      </c>
      <c r="F166">
        <f t="shared" si="5"/>
        <v>3.9596755084803092E-5</v>
      </c>
      <c r="H166" s="1"/>
    </row>
    <row r="167" spans="1:8" x14ac:dyDescent="0.25">
      <c r="A167" s="37">
        <v>29.360128</v>
      </c>
      <c r="B167" s="37">
        <v>1.0033399999999999</v>
      </c>
      <c r="E167" s="2">
        <f t="shared" si="4"/>
        <v>1.0040648257469658</v>
      </c>
      <c r="F167">
        <f t="shared" si="5"/>
        <v>-7.2482574696586255E-4</v>
      </c>
      <c r="H167" s="1"/>
    </row>
    <row r="168" spans="1:8" x14ac:dyDescent="0.25">
      <c r="A168" s="37">
        <v>31.457280000000001</v>
      </c>
      <c r="B168" s="37">
        <v>1.0032700000000001</v>
      </c>
      <c r="E168" s="2">
        <f t="shared" si="4"/>
        <v>1.0038718401500923</v>
      </c>
      <c r="F168">
        <f t="shared" si="5"/>
        <v>-6.0184015009223657E-4</v>
      </c>
      <c r="H168" s="1"/>
    </row>
    <row r="169" spans="1:8" x14ac:dyDescent="0.25">
      <c r="A169" s="37">
        <v>33.554431999999998</v>
      </c>
      <c r="B169" s="37">
        <v>1.00271</v>
      </c>
      <c r="E169" s="2">
        <f t="shared" si="4"/>
        <v>1.0037051305554126</v>
      </c>
      <c r="F169">
        <f t="shared" si="5"/>
        <v>-9.9513055541256001E-4</v>
      </c>
      <c r="H169" s="1"/>
    </row>
    <row r="170" spans="1:8" x14ac:dyDescent="0.25">
      <c r="A170" s="37">
        <v>37.748736000000001</v>
      </c>
      <c r="B170" s="37">
        <v>1.00238</v>
      </c>
      <c r="E170" s="2">
        <f t="shared" si="4"/>
        <v>1.0034323854887617</v>
      </c>
      <c r="F170">
        <f t="shared" si="5"/>
        <v>-1.0523854887616313E-3</v>
      </c>
      <c r="H170" s="1"/>
    </row>
    <row r="171" spans="1:8" x14ac:dyDescent="0.25">
      <c r="A171" s="37">
        <v>41.943040000000003</v>
      </c>
      <c r="B171" s="37">
        <v>1.00136</v>
      </c>
      <c r="E171" s="2">
        <f t="shared" si="4"/>
        <v>1.0032195047159858</v>
      </c>
      <c r="F171">
        <f t="shared" si="5"/>
        <v>-1.859504715985727E-3</v>
      </c>
      <c r="H171" s="1"/>
    </row>
    <row r="172" spans="1:8" x14ac:dyDescent="0.25">
      <c r="A172" s="37">
        <v>46.137343999999999</v>
      </c>
      <c r="B172" s="37">
        <v>1.0009399999999999</v>
      </c>
      <c r="E172" s="2">
        <f t="shared" si="4"/>
        <v>1.0030494318767949</v>
      </c>
      <c r="F172">
        <f t="shared" si="5"/>
        <v>-2.1094318767949094E-3</v>
      </c>
      <c r="H172" s="1"/>
    </row>
    <row r="173" spans="1:8" x14ac:dyDescent="0.25">
      <c r="A173" s="37">
        <v>50.331648000000001</v>
      </c>
      <c r="B173" s="37">
        <v>1.0011699999999999</v>
      </c>
      <c r="E173" s="2">
        <f t="shared" si="4"/>
        <v>1.0029109251786383</v>
      </c>
      <c r="F173">
        <f t="shared" si="5"/>
        <v>-1.7409251786384417E-3</v>
      </c>
      <c r="H173" s="1"/>
    </row>
    <row r="174" spans="1:8" x14ac:dyDescent="0.25">
      <c r="A174" s="37">
        <v>54.525951999999997</v>
      </c>
      <c r="B174" s="37">
        <v>1.0010399999999999</v>
      </c>
      <c r="E174" s="2">
        <f t="shared" si="4"/>
        <v>1.0027962945464173</v>
      </c>
      <c r="F174">
        <f t="shared" si="5"/>
        <v>-1.7562945464173474E-3</v>
      </c>
      <c r="H174" s="1"/>
    </row>
    <row r="175" spans="1:8" x14ac:dyDescent="0.25">
      <c r="A175" s="37">
        <v>58.720255999999999</v>
      </c>
      <c r="B175" s="37">
        <v>1.0007699999999999</v>
      </c>
      <c r="E175" s="2">
        <f t="shared" si="4"/>
        <v>1.0027001142883545</v>
      </c>
      <c r="F175">
        <f t="shared" si="5"/>
        <v>-1.9301142883545452E-3</v>
      </c>
      <c r="H175" s="1"/>
    </row>
    <row r="176" spans="1:8" x14ac:dyDescent="0.25">
      <c r="A176" s="37">
        <v>62.914560000000002</v>
      </c>
      <c r="B176" s="37">
        <v>1.0007999999999999</v>
      </c>
      <c r="E176" s="2">
        <f t="shared" si="4"/>
        <v>1.0026184549283288</v>
      </c>
      <c r="F176">
        <f t="shared" si="5"/>
        <v>-1.8184549283288831E-3</v>
      </c>
      <c r="H176" s="1"/>
    </row>
    <row r="177" spans="1:8" x14ac:dyDescent="0.25">
      <c r="A177" s="37">
        <v>67.108863999999997</v>
      </c>
      <c r="B177" s="37">
        <v>1.00153</v>
      </c>
      <c r="E177" s="2">
        <f t="shared" si="4"/>
        <v>1.0025484061022316</v>
      </c>
      <c r="F177">
        <f t="shared" si="5"/>
        <v>-1.0184061022315838E-3</v>
      </c>
      <c r="H177" s="1"/>
    </row>
    <row r="178" spans="1:8" x14ac:dyDescent="0.25">
      <c r="A178" s="37">
        <v>75.497472000000002</v>
      </c>
      <c r="B178" s="37">
        <v>1.0006900000000001</v>
      </c>
      <c r="E178" s="2">
        <f t="shared" si="4"/>
        <v>1.0024348581892506</v>
      </c>
      <c r="F178">
        <f t="shared" si="5"/>
        <v>-1.7448581892505199E-3</v>
      </c>
      <c r="H178" s="1"/>
    </row>
    <row r="179" spans="1:8" x14ac:dyDescent="0.25">
      <c r="A179" s="37">
        <v>83.886080000000007</v>
      </c>
      <c r="B179" s="37">
        <v>1.00027</v>
      </c>
      <c r="E179" s="2">
        <f t="shared" si="4"/>
        <v>1.0023472179420965</v>
      </c>
      <c r="F179">
        <f t="shared" si="5"/>
        <v>-2.0772179420964765E-3</v>
      </c>
      <c r="H179" s="1"/>
    </row>
    <row r="180" spans="1:8" x14ac:dyDescent="0.25">
      <c r="A180" s="37">
        <v>92.274687999999998</v>
      </c>
      <c r="B180" s="37">
        <v>1.00075</v>
      </c>
      <c r="E180" s="2">
        <f t="shared" si="4"/>
        <v>1.0022778783615456</v>
      </c>
      <c r="F180">
        <f t="shared" si="5"/>
        <v>-1.5278783615455538E-3</v>
      </c>
      <c r="H180" s="1"/>
    </row>
    <row r="181" spans="1:8" x14ac:dyDescent="0.25">
      <c r="A181" s="37">
        <v>100.663296</v>
      </c>
      <c r="B181" s="37">
        <v>1.00024</v>
      </c>
      <c r="E181" s="2">
        <f t="shared" si="4"/>
        <v>1.0022218883404925</v>
      </c>
      <c r="F181">
        <f t="shared" si="5"/>
        <v>-1.9818883404925103E-3</v>
      </c>
      <c r="H181" s="1"/>
    </row>
    <row r="182" spans="1:8" x14ac:dyDescent="0.25">
      <c r="A182" s="37">
        <v>109.05190399999999</v>
      </c>
      <c r="B182" s="37">
        <v>1.0004299999999999</v>
      </c>
      <c r="E182" s="2">
        <f t="shared" si="4"/>
        <v>1.0021758988933493</v>
      </c>
      <c r="F182">
        <f t="shared" si="5"/>
        <v>-1.7458988933494179E-3</v>
      </c>
      <c r="H182" s="1"/>
    </row>
    <row r="183" spans="1:8" x14ac:dyDescent="0.25">
      <c r="A183" s="37">
        <v>117.440512</v>
      </c>
      <c r="B183" s="37">
        <v>1.0008300000000001</v>
      </c>
      <c r="E183" s="2">
        <f t="shared" si="4"/>
        <v>1.0021375709796294</v>
      </c>
      <c r="F183">
        <f t="shared" si="5"/>
        <v>-1.3075709796293022E-3</v>
      </c>
      <c r="H183" s="1"/>
    </row>
    <row r="184" spans="1:8" x14ac:dyDescent="0.25">
      <c r="A184" s="37">
        <v>125.82912</v>
      </c>
      <c r="B184" s="37">
        <v>1.00091</v>
      </c>
      <c r="E184" s="2">
        <f t="shared" si="4"/>
        <v>1.0021052260677961</v>
      </c>
      <c r="F184">
        <f t="shared" si="5"/>
        <v>-1.1952260677960957E-3</v>
      </c>
      <c r="H184" s="1"/>
    </row>
    <row r="185" spans="1:8" x14ac:dyDescent="0.25">
      <c r="A185" s="37">
        <v>134.21772799999999</v>
      </c>
      <c r="B185" s="37">
        <v>1.00034</v>
      </c>
      <c r="E185" s="2">
        <f t="shared" si="4"/>
        <v>1.0020776313097639</v>
      </c>
      <c r="F185">
        <f t="shared" si="5"/>
        <v>-1.7376313097638985E-3</v>
      </c>
      <c r="H185" s="1"/>
    </row>
    <row r="186" spans="1:8" x14ac:dyDescent="0.25">
      <c r="A186" s="37">
        <v>150.994944</v>
      </c>
      <c r="B186" s="37">
        <v>1.0004900000000001</v>
      </c>
      <c r="E186" s="2">
        <f t="shared" si="4"/>
        <v>1.0020332157282057</v>
      </c>
      <c r="F186">
        <f t="shared" si="5"/>
        <v>-1.5432157282055936E-3</v>
      </c>
      <c r="H186" s="1"/>
    </row>
    <row r="187" spans="1:8" x14ac:dyDescent="0.25">
      <c r="A187" s="37">
        <v>167.77216000000001</v>
      </c>
      <c r="B187" s="37">
        <v>1.00068</v>
      </c>
      <c r="E187" s="2">
        <f t="shared" si="4"/>
        <v>1.0019992191814731</v>
      </c>
      <c r="F187">
        <f t="shared" si="5"/>
        <v>-1.3192191814730414E-3</v>
      </c>
      <c r="H187" s="1"/>
    </row>
    <row r="188" spans="1:8" x14ac:dyDescent="0.25">
      <c r="A188" s="37">
        <v>184.549376</v>
      </c>
      <c r="B188" s="37">
        <v>1.00058</v>
      </c>
      <c r="E188" s="2">
        <f t="shared" si="4"/>
        <v>1.0019725110577857</v>
      </c>
      <c r="F188">
        <f t="shared" si="5"/>
        <v>-1.3925110577857058E-3</v>
      </c>
      <c r="H188" s="1"/>
    </row>
    <row r="189" spans="1:8" x14ac:dyDescent="0.25">
      <c r="A189" s="37">
        <v>201.32659200000001</v>
      </c>
      <c r="B189" s="37">
        <v>1.00082</v>
      </c>
      <c r="E189" s="2">
        <f t="shared" si="4"/>
        <v>1.0019510752316259</v>
      </c>
      <c r="F189">
        <f t="shared" si="5"/>
        <v>-1.131075231625811E-3</v>
      </c>
      <c r="H189" s="1"/>
    </row>
    <row r="190" spans="1:8" x14ac:dyDescent="0.25">
      <c r="A190" s="37">
        <v>218.10380799999999</v>
      </c>
      <c r="B190" s="37">
        <v>1.00139</v>
      </c>
      <c r="E190" s="2">
        <f t="shared" si="4"/>
        <v>1.0019335604652211</v>
      </c>
      <c r="F190">
        <f t="shared" si="5"/>
        <v>-5.4356046522108237E-4</v>
      </c>
      <c r="H190" s="1"/>
    </row>
    <row r="191" spans="1:8" x14ac:dyDescent="0.25">
      <c r="A191" s="37">
        <v>234.881024</v>
      </c>
      <c r="B191" s="37">
        <v>1.00149</v>
      </c>
      <c r="E191" s="2">
        <f t="shared" si="4"/>
        <v>1.0019190305974519</v>
      </c>
      <c r="F191">
        <f t="shared" si="5"/>
        <v>-4.2903059745191818E-4</v>
      </c>
      <c r="H191" s="1"/>
    </row>
    <row r="192" spans="1:8" x14ac:dyDescent="0.25">
      <c r="A192" s="37">
        <v>251.65824000000001</v>
      </c>
      <c r="B192" s="37">
        <v>1.00105</v>
      </c>
      <c r="E192" s="2">
        <f t="shared" si="4"/>
        <v>1.001906818603632</v>
      </c>
      <c r="F192">
        <f t="shared" si="5"/>
        <v>-8.5681860363195916E-4</v>
      </c>
      <c r="H192" s="1"/>
    </row>
    <row r="193" spans="1:8" x14ac:dyDescent="0.25">
      <c r="A193" s="37">
        <v>268.43545599999999</v>
      </c>
      <c r="B193" s="37">
        <v>1.0010600000000001</v>
      </c>
      <c r="E193" s="2">
        <f t="shared" si="4"/>
        <v>1.0018964376733004</v>
      </c>
      <c r="F193">
        <f t="shared" si="5"/>
        <v>-8.3643767330032759E-4</v>
      </c>
      <c r="H193" s="1"/>
    </row>
    <row r="194" spans="1:8" x14ac:dyDescent="0.25">
      <c r="A194" s="37">
        <v>301.98988800000001</v>
      </c>
      <c r="B194" s="37">
        <v>1.00126</v>
      </c>
      <c r="E194" s="2">
        <f t="shared" si="4"/>
        <v>1.0018798054635012</v>
      </c>
      <c r="F194">
        <f t="shared" si="5"/>
        <v>-6.1980546350115517E-4</v>
      </c>
      <c r="H194" s="1"/>
    </row>
    <row r="195" spans="1:8" x14ac:dyDescent="0.25">
      <c r="A195" s="37">
        <v>335.54432000000003</v>
      </c>
      <c r="B195" s="37">
        <v>1.00003</v>
      </c>
      <c r="E195" s="2">
        <f t="shared" ref="E195:E238" si="6">$D$2+1/$D$3*($D$8/(1+A195/$D$4)/SQRT(1+A195/$D$4/$D$5/$D$5)+(1-$D$8)/(1+A195/$D$6)/SQRT(1+A195/$D$6/$D$7/$D$7))*(1+$D$9*EXP(-A195/$D$10)+$D$11*EXP(-A195/$D$12))</f>
        <v>1.0018671424941783</v>
      </c>
      <c r="F195">
        <f t="shared" ref="F195:F238" si="7">B195-E195</f>
        <v>-1.8371424941783232E-3</v>
      </c>
      <c r="H195" s="1"/>
    </row>
    <row r="196" spans="1:8" x14ac:dyDescent="0.25">
      <c r="A196" s="37">
        <v>369.09875199999999</v>
      </c>
      <c r="B196" s="37">
        <v>1.00038</v>
      </c>
      <c r="E196" s="2">
        <f t="shared" si="6"/>
        <v>1.0018572381874464</v>
      </c>
      <c r="F196">
        <f t="shared" si="7"/>
        <v>-1.4772381874463836E-3</v>
      </c>
      <c r="H196" s="1"/>
    </row>
    <row r="197" spans="1:8" x14ac:dyDescent="0.25">
      <c r="A197" s="37">
        <v>402.65318400000001</v>
      </c>
      <c r="B197" s="37">
        <v>1.00153</v>
      </c>
      <c r="E197" s="2">
        <f t="shared" si="6"/>
        <v>1.0018493186142563</v>
      </c>
      <c r="F197">
        <f t="shared" si="7"/>
        <v>-3.1931861425626984E-4</v>
      </c>
      <c r="H197" s="1"/>
    </row>
    <row r="198" spans="1:8" x14ac:dyDescent="0.25">
      <c r="A198" s="37">
        <v>436.20761599999997</v>
      </c>
      <c r="B198" s="37">
        <v>1.0011000000000001</v>
      </c>
      <c r="E198" s="2">
        <f t="shared" si="6"/>
        <v>1.0018428682847946</v>
      </c>
      <c r="F198">
        <f t="shared" si="7"/>
        <v>-7.4286828479452893E-4</v>
      </c>
      <c r="H198" s="1"/>
    </row>
    <row r="199" spans="1:8" x14ac:dyDescent="0.25">
      <c r="A199" s="37">
        <v>469.76204799999999</v>
      </c>
      <c r="B199" s="37">
        <v>1.0009699999999999</v>
      </c>
      <c r="E199" s="2">
        <f t="shared" si="6"/>
        <v>1.0018375319569253</v>
      </c>
      <c r="F199">
        <f t="shared" si="7"/>
        <v>-8.6753195692534923E-4</v>
      </c>
      <c r="H199" s="1"/>
    </row>
    <row r="200" spans="1:8" x14ac:dyDescent="0.25">
      <c r="A200" s="37">
        <v>503.31648000000001</v>
      </c>
      <c r="B200" s="37">
        <v>1.00099</v>
      </c>
      <c r="E200" s="2">
        <f t="shared" si="6"/>
        <v>1.0018330576853514</v>
      </c>
      <c r="F200">
        <f t="shared" si="7"/>
        <v>-8.4305768535131165E-4</v>
      </c>
      <c r="H200" s="1"/>
    </row>
    <row r="201" spans="1:8" x14ac:dyDescent="0.25">
      <c r="A201" s="37">
        <v>536.87091199999998</v>
      </c>
      <c r="B201" s="37">
        <v>1.00105</v>
      </c>
      <c r="E201" s="2">
        <f t="shared" si="6"/>
        <v>1.0018292623386933</v>
      </c>
      <c r="F201">
        <f t="shared" si="7"/>
        <v>-7.7926233869329842E-4</v>
      </c>
      <c r="H201" s="1"/>
    </row>
    <row r="202" spans="1:8" x14ac:dyDescent="0.25">
      <c r="A202" s="37">
        <v>603.97977600000002</v>
      </c>
      <c r="B202" s="37">
        <v>1.0004500000000001</v>
      </c>
      <c r="E202" s="2">
        <f t="shared" si="6"/>
        <v>1.0018231976397338</v>
      </c>
      <c r="F202">
        <f t="shared" si="7"/>
        <v>-1.3731976397337586E-3</v>
      </c>
      <c r="H202" s="1"/>
    </row>
    <row r="203" spans="1:8" x14ac:dyDescent="0.25">
      <c r="A203" s="37">
        <v>671.08864000000005</v>
      </c>
      <c r="B203" s="37">
        <v>1.00038</v>
      </c>
      <c r="E203" s="2">
        <f t="shared" si="6"/>
        <v>1.001818594337553</v>
      </c>
      <c r="F203">
        <f t="shared" si="7"/>
        <v>-1.4385943375530008E-3</v>
      </c>
      <c r="H203" s="1"/>
    </row>
    <row r="204" spans="1:8" x14ac:dyDescent="0.25">
      <c r="A204" s="37">
        <v>738.19750399999998</v>
      </c>
      <c r="B204" s="37">
        <v>1.00082</v>
      </c>
      <c r="E204" s="2">
        <f t="shared" si="6"/>
        <v>1.0018150028712465</v>
      </c>
      <c r="F204">
        <f t="shared" si="7"/>
        <v>-9.9500287124643094E-4</v>
      </c>
      <c r="H204" s="1"/>
    </row>
    <row r="205" spans="1:8" x14ac:dyDescent="0.25">
      <c r="A205" s="37">
        <v>805.30636800000002</v>
      </c>
      <c r="B205" s="37">
        <v>1.00057</v>
      </c>
      <c r="E205" s="2">
        <f t="shared" si="6"/>
        <v>1.0018121370907926</v>
      </c>
      <c r="F205">
        <f t="shared" si="7"/>
        <v>-1.2421370907926832E-3</v>
      </c>
      <c r="H205" s="1"/>
    </row>
    <row r="206" spans="1:8" x14ac:dyDescent="0.25">
      <c r="A206" s="37">
        <v>872.41523199999995</v>
      </c>
      <c r="B206" s="37">
        <v>1.0004200000000001</v>
      </c>
      <c r="E206" s="2">
        <f t="shared" si="6"/>
        <v>1.001809807096476</v>
      </c>
      <c r="F206">
        <f t="shared" si="7"/>
        <v>-1.389807096475959E-3</v>
      </c>
      <c r="H206" s="1"/>
    </row>
    <row r="207" spans="1:8" x14ac:dyDescent="0.25">
      <c r="A207" s="37">
        <v>939.52409599999999</v>
      </c>
      <c r="B207" s="37">
        <v>1.0008300000000001</v>
      </c>
      <c r="E207" s="2">
        <f t="shared" si="6"/>
        <v>1.0018078824268173</v>
      </c>
      <c r="F207">
        <f t="shared" si="7"/>
        <v>-9.7788242681717819E-4</v>
      </c>
      <c r="H207" s="1"/>
    </row>
    <row r="208" spans="1:8" x14ac:dyDescent="0.25">
      <c r="A208" s="37">
        <v>1006.63296</v>
      </c>
      <c r="B208" s="37">
        <v>1.00038</v>
      </c>
      <c r="E208" s="2">
        <f t="shared" si="6"/>
        <v>1.0018062708017492</v>
      </c>
      <c r="F208">
        <f t="shared" si="7"/>
        <v>-1.4262708017491743E-3</v>
      </c>
      <c r="H208" s="1"/>
    </row>
    <row r="209" spans="1:8" x14ac:dyDescent="0.25">
      <c r="A209" s="37">
        <v>1073.741824</v>
      </c>
      <c r="B209" s="37">
        <v>1.0004999999999999</v>
      </c>
      <c r="E209" s="2">
        <f t="shared" si="6"/>
        <v>1.001804905300556</v>
      </c>
      <c r="F209">
        <f t="shared" si="7"/>
        <v>-1.3049053005560474E-3</v>
      </c>
      <c r="H209" s="1"/>
    </row>
    <row r="210" spans="1:8" x14ac:dyDescent="0.25">
      <c r="A210" s="37">
        <v>1207.959552</v>
      </c>
      <c r="B210" s="37">
        <v>1.0006200000000001</v>
      </c>
      <c r="E210" s="2">
        <f t="shared" si="6"/>
        <v>1.0018027264629616</v>
      </c>
      <c r="F210">
        <f t="shared" si="7"/>
        <v>-1.1827264629615808E-3</v>
      </c>
      <c r="H210" s="1"/>
    </row>
    <row r="211" spans="1:8" x14ac:dyDescent="0.25">
      <c r="A211" s="37">
        <v>1342.1772800000001</v>
      </c>
      <c r="B211" s="37">
        <v>1.0012099999999999</v>
      </c>
      <c r="E211" s="2">
        <f t="shared" si="6"/>
        <v>1.0018010753643491</v>
      </c>
      <c r="F211">
        <f t="shared" si="7"/>
        <v>-5.9107536434921393E-4</v>
      </c>
      <c r="H211" s="1"/>
    </row>
    <row r="212" spans="1:8" x14ac:dyDescent="0.25">
      <c r="A212" s="37">
        <v>1476.395008</v>
      </c>
      <c r="B212" s="37">
        <v>1.0006900000000001</v>
      </c>
      <c r="E212" s="2">
        <f t="shared" si="6"/>
        <v>1.001799788905914</v>
      </c>
      <c r="F212">
        <f t="shared" si="7"/>
        <v>-1.1097889059139554E-3</v>
      </c>
      <c r="H212" s="1"/>
    </row>
    <row r="213" spans="1:8" x14ac:dyDescent="0.25">
      <c r="A213" s="37">
        <v>1610.612736</v>
      </c>
      <c r="B213" s="37">
        <v>1.00078</v>
      </c>
      <c r="E213" s="2">
        <f t="shared" si="6"/>
        <v>1.001798763523382</v>
      </c>
      <c r="F213">
        <f t="shared" si="7"/>
        <v>-1.018763523382038E-3</v>
      </c>
      <c r="H213" s="1"/>
    </row>
    <row r="214" spans="1:8" x14ac:dyDescent="0.25">
      <c r="A214" s="37">
        <v>1744.8304639999999</v>
      </c>
      <c r="B214" s="37">
        <v>1.0010699999999999</v>
      </c>
      <c r="E214" s="2">
        <f t="shared" si="6"/>
        <v>1.0017979306245279</v>
      </c>
      <c r="F214">
        <f t="shared" si="7"/>
        <v>-7.2793062452802815E-4</v>
      </c>
      <c r="H214" s="1"/>
    </row>
    <row r="215" spans="1:8" x14ac:dyDescent="0.25">
      <c r="A215" s="37">
        <v>1879.048192</v>
      </c>
      <c r="B215" s="37">
        <v>1.00162</v>
      </c>
      <c r="E215" s="2">
        <f t="shared" si="6"/>
        <v>1.0017972431653399</v>
      </c>
      <c r="F215">
        <f t="shared" si="7"/>
        <v>-1.7724316533995754E-4</v>
      </c>
      <c r="H215" s="1"/>
    </row>
    <row r="216" spans="1:8" x14ac:dyDescent="0.25">
      <c r="A216" s="37">
        <v>2013.2659200000001</v>
      </c>
      <c r="B216" s="37">
        <v>1.00156</v>
      </c>
      <c r="E216" s="2">
        <f t="shared" si="6"/>
        <v>1.0017966679175179</v>
      </c>
      <c r="F216">
        <f t="shared" si="7"/>
        <v>-2.366679175178632E-4</v>
      </c>
      <c r="H216" s="1"/>
    </row>
    <row r="217" spans="1:8" x14ac:dyDescent="0.25">
      <c r="A217" s="37">
        <v>2147.4836479999999</v>
      </c>
      <c r="B217" s="37">
        <v>1.0013799999999999</v>
      </c>
      <c r="E217" s="2">
        <f t="shared" si="6"/>
        <v>1.0017961808139675</v>
      </c>
      <c r="F217">
        <f t="shared" si="7"/>
        <v>-4.1618081396754825E-4</v>
      </c>
      <c r="H217" s="1"/>
    </row>
    <row r="218" spans="1:8" x14ac:dyDescent="0.25">
      <c r="A218" s="37">
        <v>2415.9191040000001</v>
      </c>
      <c r="B218" s="37">
        <v>1.00179</v>
      </c>
      <c r="E218" s="2">
        <f t="shared" si="6"/>
        <v>1.0017954041580228</v>
      </c>
      <c r="F218">
        <f t="shared" si="7"/>
        <v>-5.4041580228592068E-6</v>
      </c>
      <c r="H218" s="1"/>
    </row>
    <row r="219" spans="1:8" x14ac:dyDescent="0.25">
      <c r="A219" s="37">
        <v>2684.3545600000002</v>
      </c>
      <c r="B219" s="37">
        <v>1.0021800000000001</v>
      </c>
      <c r="E219" s="2">
        <f t="shared" si="6"/>
        <v>1.0017948161173611</v>
      </c>
      <c r="F219">
        <f t="shared" si="7"/>
        <v>3.8518388263897307E-4</v>
      </c>
      <c r="H219" s="1"/>
    </row>
    <row r="220" spans="1:8" x14ac:dyDescent="0.25">
      <c r="A220" s="37">
        <v>2952.7900159999999</v>
      </c>
      <c r="B220" s="37">
        <v>1.0021100000000001</v>
      </c>
      <c r="E220" s="2">
        <f t="shared" si="6"/>
        <v>1.0017943582596889</v>
      </c>
      <c r="F220">
        <f t="shared" si="7"/>
        <v>3.1564174031117886E-4</v>
      </c>
      <c r="H220" s="1"/>
    </row>
    <row r="221" spans="1:8" x14ac:dyDescent="0.25">
      <c r="A221" s="37">
        <v>3221.2254720000001</v>
      </c>
      <c r="B221" s="37">
        <v>1.0021199999999999</v>
      </c>
      <c r="E221" s="2">
        <f t="shared" si="6"/>
        <v>1.0017939935286189</v>
      </c>
      <c r="F221">
        <f t="shared" si="7"/>
        <v>3.2600647138103511E-4</v>
      </c>
      <c r="H221" s="1"/>
    </row>
    <row r="222" spans="1:8" x14ac:dyDescent="0.25">
      <c r="A222" s="37">
        <v>3489.6609279999998</v>
      </c>
      <c r="B222" s="37">
        <v>1.0023200000000001</v>
      </c>
      <c r="E222" s="2">
        <f t="shared" si="6"/>
        <v>1.0017936974066781</v>
      </c>
      <c r="F222">
        <f t="shared" si="7"/>
        <v>5.2630259332198115E-4</v>
      </c>
      <c r="H222" s="1"/>
    </row>
    <row r="223" spans="1:8" x14ac:dyDescent="0.25">
      <c r="A223" s="37">
        <v>3758.0963839999999</v>
      </c>
      <c r="B223" s="37">
        <v>1.00291</v>
      </c>
      <c r="E223" s="2">
        <f t="shared" si="6"/>
        <v>1.0017934530932229</v>
      </c>
      <c r="F223">
        <f t="shared" si="7"/>
        <v>1.1165469067770939E-3</v>
      </c>
      <c r="H223" s="1"/>
    </row>
    <row r="224" spans="1:8" x14ac:dyDescent="0.25">
      <c r="A224" s="37">
        <v>4026.5318400000001</v>
      </c>
      <c r="B224" s="37">
        <v>1.0032000000000001</v>
      </c>
      <c r="E224" s="2">
        <f t="shared" si="6"/>
        <v>1.0017932487303751</v>
      </c>
      <c r="F224">
        <f t="shared" si="7"/>
        <v>1.4067512696249729E-3</v>
      </c>
      <c r="H224" s="1"/>
    </row>
    <row r="225" spans="1:8" x14ac:dyDescent="0.25">
      <c r="A225" s="37">
        <v>4294.9672959999998</v>
      </c>
      <c r="B225" s="37">
        <v>1.00352</v>
      </c>
      <c r="E225" s="2">
        <f t="shared" si="6"/>
        <v>1.0017930757350273</v>
      </c>
      <c r="F225">
        <f t="shared" si="7"/>
        <v>1.7269242649726735E-3</v>
      </c>
      <c r="H225" s="1"/>
    </row>
    <row r="226" spans="1:8" x14ac:dyDescent="0.25">
      <c r="A226" s="37">
        <v>4831.8382080000001</v>
      </c>
      <c r="B226" s="37">
        <v>1.00427</v>
      </c>
      <c r="E226" s="2">
        <f t="shared" si="6"/>
        <v>1.0017928000102947</v>
      </c>
      <c r="F226">
        <f t="shared" si="7"/>
        <v>2.4771999897053032E-3</v>
      </c>
      <c r="H226" s="1"/>
    </row>
    <row r="227" spans="1:8" x14ac:dyDescent="0.25">
      <c r="A227" s="37">
        <v>5368.7091200000004</v>
      </c>
      <c r="B227" s="37">
        <v>1.0046299999999999</v>
      </c>
      <c r="E227" s="2">
        <f t="shared" si="6"/>
        <v>1.0017925913373349</v>
      </c>
      <c r="F227">
        <f t="shared" si="7"/>
        <v>2.8374086626650197E-3</v>
      </c>
      <c r="H227" s="1"/>
    </row>
    <row r="228" spans="1:8" x14ac:dyDescent="0.25">
      <c r="A228" s="37">
        <v>5905.5800319999998</v>
      </c>
      <c r="B228" s="37">
        <v>1.0044999999999999</v>
      </c>
      <c r="E228" s="2">
        <f t="shared" si="6"/>
        <v>1.0017924289182878</v>
      </c>
      <c r="F228">
        <f t="shared" si="7"/>
        <v>2.7075710817121568E-3</v>
      </c>
      <c r="H228" s="1"/>
    </row>
    <row r="229" spans="1:8" x14ac:dyDescent="0.25">
      <c r="A229" s="37">
        <v>6442.4509440000002</v>
      </c>
      <c r="B229" s="37">
        <v>1.0045599999999999</v>
      </c>
      <c r="E229" s="2">
        <f t="shared" si="6"/>
        <v>1.0017922995721815</v>
      </c>
      <c r="F229">
        <f t="shared" si="7"/>
        <v>2.7677004278183759E-3</v>
      </c>
      <c r="H229" s="1"/>
    </row>
    <row r="230" spans="1:8" x14ac:dyDescent="0.25">
      <c r="A230" s="37">
        <v>6979.3218559999996</v>
      </c>
      <c r="B230" s="37">
        <v>1.0045500000000001</v>
      </c>
      <c r="E230" s="2">
        <f t="shared" si="6"/>
        <v>1.0017921945827832</v>
      </c>
      <c r="F230">
        <f t="shared" si="7"/>
        <v>2.7578054172168187E-3</v>
      </c>
      <c r="H230" s="1"/>
    </row>
    <row r="231" spans="1:8" x14ac:dyDescent="0.25">
      <c r="A231" s="37">
        <v>7516.1927679999999</v>
      </c>
      <c r="B231" s="37">
        <v>1.00546</v>
      </c>
      <c r="E231" s="2">
        <f t="shared" si="6"/>
        <v>1.0017921079799395</v>
      </c>
      <c r="F231">
        <f t="shared" si="7"/>
        <v>3.6678920200605702E-3</v>
      </c>
      <c r="H231" s="1"/>
    </row>
    <row r="232" spans="1:8" x14ac:dyDescent="0.25">
      <c r="A232" s="37">
        <v>8053.0636800000002</v>
      </c>
      <c r="B232" s="37">
        <v>1.0059899999999999</v>
      </c>
      <c r="E232" s="2">
        <f t="shared" si="6"/>
        <v>1.0017920355515162</v>
      </c>
      <c r="F232">
        <f t="shared" si="7"/>
        <v>4.1979644484837486E-3</v>
      </c>
      <c r="H232" s="1"/>
    </row>
    <row r="233" spans="1:8" x14ac:dyDescent="0.25">
      <c r="A233" s="37">
        <v>8589.9345919999996</v>
      </c>
      <c r="B233" s="37">
        <v>1.0065900000000001</v>
      </c>
      <c r="E233" s="2">
        <f t="shared" si="6"/>
        <v>1.0017919742496304</v>
      </c>
      <c r="F233">
        <f t="shared" si="7"/>
        <v>4.7980257503696944E-3</v>
      </c>
      <c r="H233" s="1"/>
    </row>
    <row r="234" spans="1:8" x14ac:dyDescent="0.25">
      <c r="A234" s="37">
        <v>9663.6764160000002</v>
      </c>
      <c r="B234" s="37">
        <v>1.0073099999999999</v>
      </c>
      <c r="E234" s="2">
        <f t="shared" si="6"/>
        <v>1.0017918765638765</v>
      </c>
      <c r="F234">
        <f t="shared" si="7"/>
        <v>5.5181234361234566E-3</v>
      </c>
      <c r="H234" s="1"/>
    </row>
    <row r="235" spans="1:8" x14ac:dyDescent="0.25">
      <c r="A235" s="37">
        <v>10737.418240000001</v>
      </c>
      <c r="B235" s="37">
        <v>1.0071000000000001</v>
      </c>
      <c r="E235" s="2">
        <f t="shared" si="6"/>
        <v>1.0017918026498822</v>
      </c>
      <c r="F235">
        <f t="shared" si="7"/>
        <v>5.3081973501178936E-3</v>
      </c>
      <c r="H235" s="1"/>
    </row>
    <row r="236" spans="1:8" x14ac:dyDescent="0.25">
      <c r="A236" s="37">
        <v>11811.160064</v>
      </c>
      <c r="B236" s="37">
        <v>1.0080100000000001</v>
      </c>
      <c r="E236" s="2">
        <f t="shared" si="6"/>
        <v>1.0017917451296505</v>
      </c>
      <c r="F236">
        <f t="shared" si="7"/>
        <v>6.2182548703495488E-3</v>
      </c>
      <c r="H236" s="1"/>
    </row>
    <row r="237" spans="1:8" x14ac:dyDescent="0.25">
      <c r="A237" s="37">
        <v>12884.901888</v>
      </c>
      <c r="B237" s="37">
        <v>1.0082</v>
      </c>
      <c r="E237" s="2">
        <f t="shared" si="6"/>
        <v>1.0017916993287932</v>
      </c>
      <c r="F237">
        <f t="shared" si="7"/>
        <v>6.4083006712067903E-3</v>
      </c>
      <c r="H237" s="1"/>
    </row>
    <row r="238" spans="1:8" x14ac:dyDescent="0.25">
      <c r="A238" s="37">
        <v>13958.643711999999</v>
      </c>
      <c r="B238" s="37">
        <v>1.00807</v>
      </c>
      <c r="E238" s="2">
        <f t="shared" si="6"/>
        <v>1.001791662157091</v>
      </c>
      <c r="F238">
        <f t="shared" si="7"/>
        <v>6.2783378429089876E-3</v>
      </c>
      <c r="H238" s="1"/>
    </row>
    <row r="239" spans="1:8" x14ac:dyDescent="0.25">
      <c r="A239" s="37">
        <v>15032.385536</v>
      </c>
      <c r="B239" s="37">
        <v>1.00926</v>
      </c>
      <c r="H239" s="1"/>
    </row>
    <row r="240" spans="1:8" x14ac:dyDescent="0.25">
      <c r="A240" s="37">
        <v>16106.12736</v>
      </c>
      <c r="B240" s="37">
        <v>1.0100100000000001</v>
      </c>
      <c r="H240" s="1"/>
    </row>
    <row r="241" spans="1:8" x14ac:dyDescent="0.25">
      <c r="A241" s="37">
        <v>17179.869183999999</v>
      </c>
      <c r="B241" s="37">
        <v>1.01078</v>
      </c>
      <c r="H241" s="1"/>
    </row>
    <row r="242" spans="1:8" x14ac:dyDescent="0.25">
      <c r="A242" s="37">
        <v>19327.352832</v>
      </c>
      <c r="B242" s="37">
        <v>1.0103599999999999</v>
      </c>
      <c r="H242" s="1"/>
    </row>
    <row r="243" spans="1:8" x14ac:dyDescent="0.25">
      <c r="A243" s="37">
        <v>21474.836480000002</v>
      </c>
      <c r="B243" s="37">
        <v>1.01027</v>
      </c>
      <c r="H243" s="1"/>
    </row>
    <row r="244" spans="1:8" x14ac:dyDescent="0.25">
      <c r="A244" s="37">
        <v>23622.320127999999</v>
      </c>
      <c r="B244" s="37">
        <v>1.0098100000000001</v>
      </c>
      <c r="H244" s="1"/>
    </row>
    <row r="245" spans="1:8" x14ac:dyDescent="0.25">
      <c r="A245" s="37">
        <v>25769.803776000001</v>
      </c>
      <c r="B245" s="37">
        <v>1.01007</v>
      </c>
      <c r="H245" s="1"/>
    </row>
    <row r="246" spans="1:8" x14ac:dyDescent="0.25">
      <c r="A246" s="37">
        <v>27917.287423999998</v>
      </c>
      <c r="B246" s="37">
        <v>1.0099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>
      <selection activeCell="G2" sqref="G2"/>
    </sheetView>
  </sheetViews>
  <sheetFormatPr defaultColWidth="9" defaultRowHeight="15" x14ac:dyDescent="0.25"/>
  <cols>
    <col min="1" max="1" width="14.28515625" bestFit="1" customWidth="1"/>
    <col min="2" max="2" width="11.140625" bestFit="1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style="4" bestFit="1" customWidth="1"/>
  </cols>
  <sheetData>
    <row r="1" spans="1:12" x14ac:dyDescent="0.25">
      <c r="A1" t="s">
        <v>6</v>
      </c>
      <c r="B1" t="s">
        <v>12</v>
      </c>
      <c r="C1" t="s">
        <v>0</v>
      </c>
      <c r="E1" s="2" t="s">
        <v>3</v>
      </c>
      <c r="F1" s="2" t="s">
        <v>4</v>
      </c>
      <c r="G1" s="2" t="s">
        <v>5</v>
      </c>
      <c r="I1"/>
      <c r="J1" s="4" t="s">
        <v>18</v>
      </c>
      <c r="L1" s="3" t="s">
        <v>21</v>
      </c>
    </row>
    <row r="2" spans="1:12" ht="15.75" x14ac:dyDescent="0.25">
      <c r="A2" s="38">
        <v>3.9999999999999998E-6</v>
      </c>
      <c r="B2" s="38">
        <v>1.26291</v>
      </c>
      <c r="C2" s="3" t="s">
        <v>1</v>
      </c>
      <c r="D2">
        <v>1.0034042302335</v>
      </c>
      <c r="E2" s="2">
        <f>$D$2+1/$D$3*($D$8/(1+A2/$D$4)/SQRT(1+A2/$D$4/$D$5/$D$5)+(1-$D$8)/(1+A2/$D$6)/SQRT(1+A2/$D$6/$D$7/$D$7))*(1+$D$9*EXP(-A2/$D$10)+$D$11*EXP(-A2/$D$12))</f>
        <v>1.4015382294798755</v>
      </c>
      <c r="F2">
        <f t="shared" ref="F2:F65" si="0">B2-E2</f>
        <v>-0.13862822947987552</v>
      </c>
      <c r="G2">
        <f>SUMSQ(F$3:F$190)</f>
        <v>7.4832173473082051E-3</v>
      </c>
      <c r="H2" s="1"/>
      <c r="I2" s="13" t="s">
        <v>19</v>
      </c>
      <c r="J2" s="23">
        <v>50.46</v>
      </c>
      <c r="L2" s="14">
        <f>(J2+J3)/D3</f>
        <v>39.971018015510175</v>
      </c>
    </row>
    <row r="3" spans="1:12" x14ac:dyDescent="0.25">
      <c r="A3" s="38">
        <v>7.9999999999999996E-6</v>
      </c>
      <c r="B3" s="38">
        <v>1.4066099999999999</v>
      </c>
      <c r="C3" s="3" t="s">
        <v>2</v>
      </c>
      <c r="D3">
        <v>3.1092528079163495</v>
      </c>
      <c r="E3" s="2">
        <f t="shared" ref="E3:E66" si="1">$D$2+1/$D$3*($D$8/(1+A3/$D$4)/SQRT(1+A3/$D$4/$D$5/$D$5)+(1-$D$8)/(1+A3/$D$6)/SQRT(1+A3/$D$6/$D$7/$D$7))*(1+$D$9*EXP(-A3/$D$10)+$D$11*EXP(-A3/$D$12))</f>
        <v>1.3993733023025785</v>
      </c>
      <c r="F3">
        <f t="shared" si="0"/>
        <v>7.2366976974214126E-3</v>
      </c>
      <c r="H3" s="1"/>
      <c r="I3" s="13" t="s">
        <v>20</v>
      </c>
      <c r="J3" s="24">
        <v>73.819999999999993</v>
      </c>
    </row>
    <row r="4" spans="1:12" x14ac:dyDescent="0.25">
      <c r="A4" s="38">
        <v>1.2E-5</v>
      </c>
      <c r="B4" s="38">
        <v>1.3789800000000001</v>
      </c>
      <c r="C4" s="3" t="s">
        <v>26</v>
      </c>
      <c r="D4">
        <f>('1_Rh110 in buffer'!D4+'2_Rh110 in buffer'!D4)/2</f>
        <v>0.1892478885079571</v>
      </c>
      <c r="E4" s="2">
        <f t="shared" si="1"/>
        <v>1.3973304871516703</v>
      </c>
      <c r="F4">
        <f t="shared" si="0"/>
        <v>-1.8350487151670203E-2</v>
      </c>
      <c r="H4" s="1"/>
    </row>
    <row r="5" spans="1:12" x14ac:dyDescent="0.25">
      <c r="A5" s="38">
        <v>1.5999999999999999E-5</v>
      </c>
      <c r="B5" s="38">
        <v>1.43228</v>
      </c>
      <c r="C5" s="3" t="s">
        <v>22</v>
      </c>
      <c r="D5">
        <f>('1_Rh110 in buffer'!D5+'2_Rh110 in buffer'!D5)/2</f>
        <v>5.9953640241376469</v>
      </c>
      <c r="E5" s="2">
        <f t="shared" si="1"/>
        <v>1.3954027219995557</v>
      </c>
      <c r="F5">
        <f t="shared" si="0"/>
        <v>3.6877278000444269E-2</v>
      </c>
      <c r="H5" s="1"/>
    </row>
    <row r="6" spans="1:12" x14ac:dyDescent="0.25">
      <c r="A6" s="38">
        <v>2.0000000000000002E-5</v>
      </c>
      <c r="B6" s="38">
        <v>1.4063300000000001</v>
      </c>
      <c r="C6" s="3" t="s">
        <v>25</v>
      </c>
      <c r="D6">
        <f>('1_EGFP'!D4+'2_EGFP'!D4)/2</f>
        <v>0.69387704629912417</v>
      </c>
      <c r="E6" s="2">
        <f t="shared" si="1"/>
        <v>1.3935833534375066</v>
      </c>
      <c r="F6">
        <f t="shared" si="0"/>
        <v>1.2746646562493469E-2</v>
      </c>
      <c r="H6" s="1"/>
    </row>
    <row r="7" spans="1:12" x14ac:dyDescent="0.25">
      <c r="A7" s="38">
        <v>2.4000000000000001E-5</v>
      </c>
      <c r="B7" s="38">
        <v>1.36113</v>
      </c>
      <c r="C7" s="3" t="s">
        <v>22</v>
      </c>
      <c r="D7">
        <f>('1_Rh110 in buffer'!D5+'2_Rh110 in buffer'!D5)/2</f>
        <v>5.9953640241376469</v>
      </c>
      <c r="E7" s="2">
        <f t="shared" si="1"/>
        <v>1.3918661130321388</v>
      </c>
      <c r="F7">
        <f t="shared" si="0"/>
        <v>-3.0736113032138856E-2</v>
      </c>
      <c r="H7" s="1"/>
    </row>
    <row r="8" spans="1:12" x14ac:dyDescent="0.25">
      <c r="A8" s="38">
        <v>2.8E-5</v>
      </c>
      <c r="B8" s="38">
        <v>1.37815</v>
      </c>
      <c r="C8" s="3" t="s">
        <v>13</v>
      </c>
      <c r="D8">
        <v>0.63555380003107609</v>
      </c>
      <c r="E8" s="2">
        <f t="shared" si="1"/>
        <v>1.3902450950499514</v>
      </c>
      <c r="F8">
        <f t="shared" si="0"/>
        <v>-1.2095095049951432E-2</v>
      </c>
      <c r="H8" s="1"/>
    </row>
    <row r="9" spans="1:12" x14ac:dyDescent="0.25">
      <c r="A9" s="38">
        <v>3.1999999999999999E-5</v>
      </c>
      <c r="B9" s="38">
        <v>1.3667100000000001</v>
      </c>
      <c r="C9" s="3" t="s">
        <v>14</v>
      </c>
      <c r="D9">
        <v>0.12472827222591461</v>
      </c>
      <c r="E9" s="2">
        <f t="shared" si="1"/>
        <v>1.3887147354707698</v>
      </c>
      <c r="F9">
        <f t="shared" si="0"/>
        <v>-2.2004735470769754E-2</v>
      </c>
      <c r="H9" s="1"/>
    </row>
    <row r="10" spans="1:12" x14ac:dyDescent="0.25">
      <c r="A10" s="38">
        <v>3.6000000000000001E-5</v>
      </c>
      <c r="B10" s="38">
        <v>1.3854</v>
      </c>
      <c r="C10" s="3" t="s">
        <v>24</v>
      </c>
      <c r="D10">
        <v>3.2070868957609585E-3</v>
      </c>
      <c r="E10" s="2">
        <f t="shared" si="1"/>
        <v>1.3872697922155144</v>
      </c>
      <c r="F10">
        <f t="shared" si="0"/>
        <v>-1.8697922155144209E-3</v>
      </c>
      <c r="H10" s="1"/>
    </row>
    <row r="11" spans="1:12" x14ac:dyDescent="0.25">
      <c r="A11" s="38">
        <v>4.0000000000000003E-5</v>
      </c>
      <c r="B11" s="38">
        <v>1.3868</v>
      </c>
      <c r="C11" s="3" t="s">
        <v>15</v>
      </c>
      <c r="D11">
        <v>0.12030527208080415</v>
      </c>
      <c r="E11" s="2">
        <f t="shared" si="1"/>
        <v>1.3859053265180319</v>
      </c>
      <c r="F11">
        <f t="shared" si="0"/>
        <v>8.9467348196814456E-4</v>
      </c>
      <c r="H11" s="1"/>
    </row>
    <row r="12" spans="1:12" x14ac:dyDescent="0.25">
      <c r="A12" s="38">
        <v>4.3999999999999999E-5</v>
      </c>
      <c r="B12" s="38">
        <v>1.37592</v>
      </c>
      <c r="C12" s="3" t="s">
        <v>23</v>
      </c>
      <c r="D12">
        <v>6.7127823554901679E-5</v>
      </c>
      <c r="E12" s="2">
        <f t="shared" si="1"/>
        <v>1.3846166853747903</v>
      </c>
      <c r="F12">
        <f t="shared" si="0"/>
        <v>-8.6966853747902917E-3</v>
      </c>
      <c r="H12" s="1"/>
    </row>
    <row r="13" spans="1:12" x14ac:dyDescent="0.25">
      <c r="A13" s="38">
        <v>4.8000000000000001E-5</v>
      </c>
      <c r="B13" s="38">
        <v>1.38931</v>
      </c>
      <c r="E13" s="2">
        <f t="shared" si="1"/>
        <v>1.3833994850100713</v>
      </c>
      <c r="F13">
        <f t="shared" si="0"/>
        <v>5.9105149899287834E-3</v>
      </c>
      <c r="H13" s="1"/>
    </row>
    <row r="14" spans="1:12" x14ac:dyDescent="0.25">
      <c r="A14" s="38">
        <v>5.1999999999999997E-5</v>
      </c>
      <c r="B14" s="38">
        <v>1.3812199999999999</v>
      </c>
      <c r="E14" s="2">
        <f t="shared" si="1"/>
        <v>1.3822495952979004</v>
      </c>
      <c r="F14">
        <f t="shared" si="0"/>
        <v>-1.0295952979004763E-3</v>
      </c>
      <c r="H14" s="1"/>
    </row>
    <row r="15" spans="1:12" x14ac:dyDescent="0.25">
      <c r="A15" s="38">
        <v>5.5999999999999999E-5</v>
      </c>
      <c r="B15" s="38">
        <v>1.4225099999999999</v>
      </c>
      <c r="E15" s="2">
        <f t="shared" si="1"/>
        <v>1.3811631250853562</v>
      </c>
      <c r="F15">
        <f t="shared" si="0"/>
        <v>4.1346874914643728E-2</v>
      </c>
      <c r="H15" s="1"/>
    </row>
    <row r="16" spans="1:12" x14ac:dyDescent="0.25">
      <c r="A16" s="38">
        <v>6.0000000000000002E-5</v>
      </c>
      <c r="B16" s="38">
        <v>1.3753599999999999</v>
      </c>
      <c r="E16" s="2">
        <f t="shared" si="1"/>
        <v>1.3801364083651042</v>
      </c>
      <c r="F16">
        <f t="shared" si="0"/>
        <v>-4.7764083651042899E-3</v>
      </c>
      <c r="H16" s="1"/>
    </row>
    <row r="17" spans="1:8" x14ac:dyDescent="0.25">
      <c r="A17" s="38">
        <v>6.3999999999999997E-5</v>
      </c>
      <c r="B17" s="38">
        <v>1.38666</v>
      </c>
      <c r="E17" s="2">
        <f t="shared" si="1"/>
        <v>1.3791659912480145</v>
      </c>
      <c r="F17">
        <f t="shared" si="0"/>
        <v>7.4940087519854703E-3</v>
      </c>
      <c r="H17" s="1"/>
    </row>
    <row r="18" spans="1:8" x14ac:dyDescent="0.25">
      <c r="A18" s="38">
        <v>7.2000000000000002E-5</v>
      </c>
      <c r="B18" s="38">
        <v>1.3750800000000001</v>
      </c>
      <c r="E18" s="2">
        <f t="shared" si="1"/>
        <v>1.3773812279264659</v>
      </c>
      <c r="F18">
        <f t="shared" si="0"/>
        <v>-2.3012279264658098E-3</v>
      </c>
      <c r="H18" s="1"/>
    </row>
    <row r="19" spans="1:8" x14ac:dyDescent="0.25">
      <c r="A19" s="38">
        <v>8.0000000000000007E-5</v>
      </c>
      <c r="B19" s="38">
        <v>1.3763300000000001</v>
      </c>
      <c r="E19" s="2">
        <f t="shared" si="1"/>
        <v>1.3757849974033785</v>
      </c>
      <c r="F19">
        <f t="shared" si="0"/>
        <v>5.4500259662160211E-4</v>
      </c>
      <c r="H19" s="1"/>
    </row>
    <row r="20" spans="1:8" x14ac:dyDescent="0.25">
      <c r="A20" s="38">
        <v>8.7999999999999998E-5</v>
      </c>
      <c r="B20" s="38">
        <v>1.3817699999999999</v>
      </c>
      <c r="E20" s="2">
        <f t="shared" si="1"/>
        <v>1.3743561406811704</v>
      </c>
      <c r="F20">
        <f t="shared" si="0"/>
        <v>7.413859318829541E-3</v>
      </c>
      <c r="H20" s="1"/>
    </row>
    <row r="21" spans="1:8" x14ac:dyDescent="0.25">
      <c r="A21" s="38">
        <v>9.6000000000000002E-5</v>
      </c>
      <c r="B21" s="38">
        <v>1.3669899999999999</v>
      </c>
      <c r="E21" s="2">
        <f t="shared" si="1"/>
        <v>1.3730758764581223</v>
      </c>
      <c r="F21">
        <f t="shared" si="0"/>
        <v>-6.085876458122419E-3</v>
      </c>
      <c r="H21" s="1"/>
    </row>
    <row r="22" spans="1:8" x14ac:dyDescent="0.25">
      <c r="A22" s="38">
        <v>1.0399999999999999E-4</v>
      </c>
      <c r="B22" s="38">
        <v>1.3648899999999999</v>
      </c>
      <c r="E22" s="2">
        <f t="shared" si="1"/>
        <v>1.3719275339323842</v>
      </c>
      <c r="F22">
        <f t="shared" si="0"/>
        <v>-7.0375339323842656E-3</v>
      </c>
      <c r="H22" s="1"/>
    </row>
    <row r="23" spans="1:8" x14ac:dyDescent="0.25">
      <c r="A23" s="38">
        <v>1.12E-4</v>
      </c>
      <c r="B23" s="38">
        <v>1.3794</v>
      </c>
      <c r="E23" s="2">
        <f t="shared" si="1"/>
        <v>1.370896315632423</v>
      </c>
      <c r="F23">
        <f t="shared" si="0"/>
        <v>8.5036843675769802E-3</v>
      </c>
      <c r="H23" s="1"/>
    </row>
    <row r="24" spans="1:8" x14ac:dyDescent="0.25">
      <c r="A24" s="38">
        <v>1.2E-4</v>
      </c>
      <c r="B24" s="38">
        <v>1.3572200000000001</v>
      </c>
      <c r="E24" s="2">
        <f t="shared" si="1"/>
        <v>1.3699690868996606</v>
      </c>
      <c r="F24">
        <f t="shared" si="0"/>
        <v>-1.2749086899660478E-2</v>
      </c>
      <c r="H24" s="1"/>
    </row>
    <row r="25" spans="1:8" x14ac:dyDescent="0.25">
      <c r="A25" s="38">
        <v>1.2799999999999999E-4</v>
      </c>
      <c r="B25" s="38">
        <v>1.37026</v>
      </c>
      <c r="E25" s="2">
        <f t="shared" si="1"/>
        <v>1.3691341890282331</v>
      </c>
      <c r="F25">
        <f t="shared" si="0"/>
        <v>1.125810971766894E-3</v>
      </c>
      <c r="H25" s="1"/>
    </row>
    <row r="26" spans="1:8" x14ac:dyDescent="0.25">
      <c r="A26" s="38">
        <v>1.44E-4</v>
      </c>
      <c r="B26" s="38">
        <v>1.3776600000000001</v>
      </c>
      <c r="E26" s="2">
        <f t="shared" si="1"/>
        <v>1.3677011542786646</v>
      </c>
      <c r="F26">
        <f t="shared" si="0"/>
        <v>9.9588457213355408E-3</v>
      </c>
      <c r="H26" s="1"/>
    </row>
    <row r="27" spans="1:8" x14ac:dyDescent="0.25">
      <c r="A27" s="38">
        <v>1.6000000000000001E-4</v>
      </c>
      <c r="B27" s="38">
        <v>1.34606</v>
      </c>
      <c r="E27" s="2">
        <f t="shared" si="1"/>
        <v>1.3665276075004722</v>
      </c>
      <c r="F27">
        <f t="shared" si="0"/>
        <v>-2.0467607500472162E-2</v>
      </c>
      <c r="H27" s="1"/>
    </row>
    <row r="28" spans="1:8" x14ac:dyDescent="0.25">
      <c r="A28" s="38">
        <v>1.76E-4</v>
      </c>
      <c r="B28" s="38">
        <v>1.3551299999999999</v>
      </c>
      <c r="E28" s="2">
        <f t="shared" si="1"/>
        <v>1.3655587084211902</v>
      </c>
      <c r="F28">
        <f t="shared" si="0"/>
        <v>-1.0428708421190258E-2</v>
      </c>
      <c r="H28" s="1"/>
    </row>
    <row r="29" spans="1:8" x14ac:dyDescent="0.25">
      <c r="A29" s="38">
        <v>1.92E-4</v>
      </c>
      <c r="B29" s="38">
        <v>1.36964</v>
      </c>
      <c r="E29" s="2">
        <f t="shared" si="1"/>
        <v>1.3647512486713844</v>
      </c>
      <c r="F29">
        <f t="shared" si="0"/>
        <v>4.8887513286155482E-3</v>
      </c>
      <c r="H29" s="1"/>
    </row>
    <row r="30" spans="1:8" x14ac:dyDescent="0.25">
      <c r="A30" s="38">
        <v>2.0799999999999999E-4</v>
      </c>
      <c r="B30" s="38">
        <v>1.3704000000000001</v>
      </c>
      <c r="E30" s="2">
        <f t="shared" si="1"/>
        <v>1.364071184386614</v>
      </c>
      <c r="F30">
        <f t="shared" si="0"/>
        <v>6.3288156133860518E-3</v>
      </c>
      <c r="H30" s="1"/>
    </row>
    <row r="31" spans="1:8" x14ac:dyDescent="0.25">
      <c r="A31" s="38">
        <v>2.24E-4</v>
      </c>
      <c r="B31" s="38">
        <v>1.3559600000000001</v>
      </c>
      <c r="E31" s="2">
        <f t="shared" si="1"/>
        <v>1.3634916922031952</v>
      </c>
      <c r="F31">
        <f t="shared" si="0"/>
        <v>-7.5316922031951616E-3</v>
      </c>
      <c r="H31" s="1"/>
    </row>
    <row r="32" spans="1:8" x14ac:dyDescent="0.25">
      <c r="A32" s="38">
        <v>2.4000000000000001E-4</v>
      </c>
      <c r="B32" s="38">
        <v>1.3752200000000001</v>
      </c>
      <c r="E32" s="2">
        <f t="shared" si="1"/>
        <v>1.3629916376234852</v>
      </c>
      <c r="F32">
        <f t="shared" si="0"/>
        <v>1.2228362376514923E-2</v>
      </c>
      <c r="H32" s="1"/>
    </row>
    <row r="33" spans="1:8" x14ac:dyDescent="0.25">
      <c r="A33" s="38">
        <v>2.5599999999999999E-4</v>
      </c>
      <c r="B33" s="38">
        <v>1.3668800000000001</v>
      </c>
      <c r="E33" s="2">
        <f t="shared" si="1"/>
        <v>1.3625543682772849</v>
      </c>
      <c r="F33">
        <f t="shared" si="0"/>
        <v>4.3256317227151619E-3</v>
      </c>
      <c r="H33" s="1"/>
    </row>
    <row r="34" spans="1:8" x14ac:dyDescent="0.25">
      <c r="A34" s="38">
        <v>2.8800000000000001E-4</v>
      </c>
      <c r="B34" s="38">
        <v>1.35907</v>
      </c>
      <c r="E34" s="2">
        <f t="shared" si="1"/>
        <v>1.3618184835567508</v>
      </c>
      <c r="F34">
        <f t="shared" si="0"/>
        <v>-2.7484835567508359E-3</v>
      </c>
      <c r="H34" s="1"/>
    </row>
    <row r="35" spans="1:8" x14ac:dyDescent="0.25">
      <c r="A35" s="38">
        <v>3.2000000000000003E-4</v>
      </c>
      <c r="B35" s="38">
        <v>1.36761</v>
      </c>
      <c r="E35" s="2">
        <f t="shared" si="1"/>
        <v>1.3612090415240807</v>
      </c>
      <c r="F35">
        <f t="shared" si="0"/>
        <v>6.4009584759192606E-3</v>
      </c>
      <c r="H35" s="1"/>
    </row>
    <row r="36" spans="1:8" x14ac:dyDescent="0.25">
      <c r="A36" s="38">
        <v>3.5199999999999999E-4</v>
      </c>
      <c r="B36" s="38">
        <v>1.3563799999999999</v>
      </c>
      <c r="E36" s="2">
        <f t="shared" si="1"/>
        <v>1.3606794741336414</v>
      </c>
      <c r="F36">
        <f t="shared" si="0"/>
        <v>-4.2994741336415121E-3</v>
      </c>
      <c r="H36" s="1"/>
    </row>
    <row r="37" spans="1:8" x14ac:dyDescent="0.25">
      <c r="A37" s="38">
        <v>3.8400000000000001E-4</v>
      </c>
      <c r="B37" s="38">
        <v>1.37229</v>
      </c>
      <c r="E37" s="2">
        <f t="shared" si="1"/>
        <v>1.3602008604264886</v>
      </c>
      <c r="F37">
        <f t="shared" si="0"/>
        <v>1.2089139573511432E-2</v>
      </c>
      <c r="H37" s="1"/>
    </row>
    <row r="38" spans="1:8" x14ac:dyDescent="0.25">
      <c r="A38" s="38">
        <v>4.1599999999999997E-4</v>
      </c>
      <c r="B38" s="38">
        <v>1.35331</v>
      </c>
      <c r="E38" s="2">
        <f t="shared" si="1"/>
        <v>1.3597552339950874</v>
      </c>
      <c r="F38">
        <f t="shared" si="0"/>
        <v>-6.4452339950873405E-3</v>
      </c>
      <c r="H38" s="1"/>
    </row>
    <row r="39" spans="1:8" x14ac:dyDescent="0.25">
      <c r="A39" s="38">
        <v>4.4799999999999999E-4</v>
      </c>
      <c r="B39" s="38">
        <v>1.36639</v>
      </c>
      <c r="E39" s="2">
        <f t="shared" si="1"/>
        <v>1.3593314285973679</v>
      </c>
      <c r="F39">
        <f t="shared" si="0"/>
        <v>7.0585714026321078E-3</v>
      </c>
      <c r="H39" s="1"/>
    </row>
    <row r="40" spans="1:8" x14ac:dyDescent="0.25">
      <c r="A40" s="38">
        <v>4.8000000000000001E-4</v>
      </c>
      <c r="B40" s="38">
        <v>1.3571500000000001</v>
      </c>
      <c r="E40" s="2">
        <f t="shared" si="1"/>
        <v>1.3589224993243776</v>
      </c>
      <c r="F40">
        <f t="shared" si="0"/>
        <v>-1.7724993243775078E-3</v>
      </c>
      <c r="H40" s="1"/>
    </row>
    <row r="41" spans="1:8" x14ac:dyDescent="0.25">
      <c r="A41" s="38">
        <v>5.1199999999999998E-4</v>
      </c>
      <c r="B41" s="38">
        <v>1.36005</v>
      </c>
      <c r="E41" s="2">
        <f t="shared" si="1"/>
        <v>1.3585241217912494</v>
      </c>
      <c r="F41">
        <f t="shared" si="0"/>
        <v>1.5258782087506084E-3</v>
      </c>
      <c r="H41" s="1"/>
    </row>
    <row r="42" spans="1:8" x14ac:dyDescent="0.25">
      <c r="A42" s="38">
        <v>5.7600000000000001E-4</v>
      </c>
      <c r="B42" s="38">
        <v>1.3580700000000001</v>
      </c>
      <c r="E42" s="2">
        <f t="shared" si="1"/>
        <v>1.3577492416744521</v>
      </c>
      <c r="F42">
        <f t="shared" si="0"/>
        <v>3.2075832554800954E-4</v>
      </c>
      <c r="H42" s="1"/>
    </row>
    <row r="43" spans="1:8" x14ac:dyDescent="0.25">
      <c r="A43" s="38">
        <v>6.4000000000000005E-4</v>
      </c>
      <c r="B43" s="38">
        <v>1.3496999999999999</v>
      </c>
      <c r="E43" s="2">
        <f t="shared" si="1"/>
        <v>1.3569951753049294</v>
      </c>
      <c r="F43">
        <f t="shared" si="0"/>
        <v>-7.2951753049295132E-3</v>
      </c>
      <c r="H43" s="1"/>
    </row>
    <row r="44" spans="1:8" x14ac:dyDescent="0.25">
      <c r="A44" s="38">
        <v>7.0399999999999998E-4</v>
      </c>
      <c r="B44" s="38">
        <v>1.3557399999999999</v>
      </c>
      <c r="E44" s="2">
        <f t="shared" si="1"/>
        <v>1.3562572819629988</v>
      </c>
      <c r="F44">
        <f t="shared" si="0"/>
        <v>-5.1728196299882789E-4</v>
      </c>
      <c r="H44" s="1"/>
    </row>
    <row r="45" spans="1:8" x14ac:dyDescent="0.25">
      <c r="A45" s="38">
        <v>7.6800000000000002E-4</v>
      </c>
      <c r="B45" s="38">
        <v>1.3571299999999999</v>
      </c>
      <c r="E45" s="2">
        <f t="shared" si="1"/>
        <v>1.3555336108523766</v>
      </c>
      <c r="F45">
        <f t="shared" si="0"/>
        <v>1.5963891476233893E-3</v>
      </c>
      <c r="H45" s="1"/>
    </row>
    <row r="46" spans="1:8" x14ac:dyDescent="0.25">
      <c r="A46" s="38">
        <v>8.3199999999999995E-4</v>
      </c>
      <c r="B46" s="38">
        <v>1.35033</v>
      </c>
      <c r="E46" s="2">
        <f t="shared" si="1"/>
        <v>1.3548232509377474</v>
      </c>
      <c r="F46">
        <f t="shared" si="0"/>
        <v>-4.4932509377473284E-3</v>
      </c>
      <c r="H46" s="1"/>
    </row>
    <row r="47" spans="1:8" x14ac:dyDescent="0.25">
      <c r="A47" s="38">
        <v>8.9599999999999999E-4</v>
      </c>
      <c r="B47" s="38">
        <v>1.35124</v>
      </c>
      <c r="E47" s="2">
        <f t="shared" si="1"/>
        <v>1.3541256950233567</v>
      </c>
      <c r="F47">
        <f t="shared" si="0"/>
        <v>-2.8856950233566714E-3</v>
      </c>
      <c r="H47" s="1"/>
    </row>
    <row r="48" spans="1:8" x14ac:dyDescent="0.25">
      <c r="A48" s="38">
        <v>9.6000000000000002E-4</v>
      </c>
      <c r="B48" s="38">
        <v>1.3516600000000001</v>
      </c>
      <c r="E48" s="2">
        <f t="shared" si="1"/>
        <v>1.3534405946498651</v>
      </c>
      <c r="F48">
        <f t="shared" si="0"/>
        <v>-1.7805946498650194E-3</v>
      </c>
      <c r="H48" s="1"/>
    </row>
    <row r="49" spans="1:8" x14ac:dyDescent="0.25">
      <c r="A49" s="38">
        <v>1.024E-3</v>
      </c>
      <c r="B49" s="38">
        <v>1.35297</v>
      </c>
      <c r="E49" s="2">
        <f t="shared" si="1"/>
        <v>1.3527676655862926</v>
      </c>
      <c r="F49">
        <f t="shared" si="0"/>
        <v>2.0233441370742788E-4</v>
      </c>
      <c r="H49" s="1"/>
    </row>
    <row r="50" spans="1:8" x14ac:dyDescent="0.25">
      <c r="A50" s="38">
        <v>1.152E-3</v>
      </c>
      <c r="B50" s="38">
        <v>1.35714</v>
      </c>
      <c r="E50" s="2">
        <f t="shared" si="1"/>
        <v>1.3514573091002571</v>
      </c>
      <c r="F50">
        <f t="shared" si="0"/>
        <v>5.6826908997429371E-3</v>
      </c>
      <c r="H50" s="1"/>
    </row>
    <row r="51" spans="1:8" x14ac:dyDescent="0.25">
      <c r="A51" s="38">
        <v>1.2800000000000001E-3</v>
      </c>
      <c r="B51" s="38">
        <v>1.34934</v>
      </c>
      <c r="E51" s="2">
        <f t="shared" si="1"/>
        <v>1.3501927076614835</v>
      </c>
      <c r="F51">
        <f t="shared" si="0"/>
        <v>-8.527076614834872E-4</v>
      </c>
      <c r="H51" s="1"/>
    </row>
    <row r="52" spans="1:8" x14ac:dyDescent="0.25">
      <c r="A52" s="38">
        <v>1.408E-3</v>
      </c>
      <c r="B52" s="38">
        <v>1.35033</v>
      </c>
      <c r="E52" s="2">
        <f t="shared" si="1"/>
        <v>1.3489720502221321</v>
      </c>
      <c r="F52">
        <f t="shared" si="0"/>
        <v>1.3579497778679617E-3</v>
      </c>
      <c r="H52" s="1"/>
    </row>
    <row r="53" spans="1:8" x14ac:dyDescent="0.25">
      <c r="A53" s="38">
        <v>1.536E-3</v>
      </c>
      <c r="B53" s="38">
        <v>1.34354</v>
      </c>
      <c r="E53" s="2">
        <f t="shared" si="1"/>
        <v>1.3477936020786634</v>
      </c>
      <c r="F53">
        <f t="shared" si="0"/>
        <v>-4.2536020786634321E-3</v>
      </c>
      <c r="H53" s="1"/>
    </row>
    <row r="54" spans="1:8" x14ac:dyDescent="0.25">
      <c r="A54" s="38">
        <v>1.6639999999999999E-3</v>
      </c>
      <c r="B54" s="38">
        <v>1.3500700000000001</v>
      </c>
      <c r="E54" s="2">
        <f t="shared" si="1"/>
        <v>1.3466556979440594</v>
      </c>
      <c r="F54">
        <f t="shared" si="0"/>
        <v>3.4143020559407322E-3</v>
      </c>
      <c r="H54" s="1"/>
    </row>
    <row r="55" spans="1:8" x14ac:dyDescent="0.25">
      <c r="A55" s="38">
        <v>1.792E-3</v>
      </c>
      <c r="B55" s="38">
        <v>1.3433600000000001</v>
      </c>
      <c r="E55" s="2">
        <f t="shared" si="1"/>
        <v>1.3455567386168128</v>
      </c>
      <c r="F55">
        <f t="shared" si="0"/>
        <v>-2.1967386168126879E-3</v>
      </c>
      <c r="H55" s="1"/>
    </row>
    <row r="56" spans="1:8" x14ac:dyDescent="0.25">
      <c r="A56" s="38">
        <v>1.92E-3</v>
      </c>
      <c r="B56" s="38">
        <v>1.34375</v>
      </c>
      <c r="E56" s="2">
        <f t="shared" si="1"/>
        <v>1.3444951882752529</v>
      </c>
      <c r="F56">
        <f t="shared" si="0"/>
        <v>-7.4518827525293929E-4</v>
      </c>
      <c r="H56" s="1"/>
    </row>
    <row r="57" spans="1:8" x14ac:dyDescent="0.25">
      <c r="A57" s="38">
        <v>2.0479999999999999E-3</v>
      </c>
      <c r="B57" s="38">
        <v>1.3418300000000001</v>
      </c>
      <c r="E57" s="2">
        <f t="shared" si="1"/>
        <v>1.3434695719523906</v>
      </c>
      <c r="F57">
        <f t="shared" si="0"/>
        <v>-1.6395719523905061E-3</v>
      </c>
      <c r="H57" s="1"/>
    </row>
    <row r="58" spans="1:8" x14ac:dyDescent="0.25">
      <c r="A58" s="38">
        <v>2.3040000000000001E-3</v>
      </c>
      <c r="B58" s="38">
        <v>1.34036</v>
      </c>
      <c r="E58" s="2">
        <f t="shared" si="1"/>
        <v>1.3415205313806071</v>
      </c>
      <c r="F58">
        <f t="shared" si="0"/>
        <v>-1.1605313806071216E-3</v>
      </c>
      <c r="H58" s="1"/>
    </row>
    <row r="59" spans="1:8" x14ac:dyDescent="0.25">
      <c r="A59" s="38">
        <v>2.5600000000000002E-3</v>
      </c>
      <c r="B59" s="38">
        <v>1.33738</v>
      </c>
      <c r="E59" s="2">
        <f t="shared" si="1"/>
        <v>1.3396989449141046</v>
      </c>
      <c r="F59">
        <f t="shared" si="0"/>
        <v>-2.3189449141045593E-3</v>
      </c>
      <c r="H59" s="1"/>
    </row>
    <row r="60" spans="1:8" x14ac:dyDescent="0.25">
      <c r="A60" s="38">
        <v>2.8159999999999999E-3</v>
      </c>
      <c r="B60" s="38">
        <v>1.3383799999999999</v>
      </c>
      <c r="E60" s="2">
        <f t="shared" si="1"/>
        <v>1.3379949694434519</v>
      </c>
      <c r="F60">
        <f t="shared" si="0"/>
        <v>3.8503055654803831E-4</v>
      </c>
      <c r="H60" s="1"/>
    </row>
    <row r="61" spans="1:8" x14ac:dyDescent="0.25">
      <c r="A61" s="38">
        <v>3.0720000000000001E-3</v>
      </c>
      <c r="B61" s="38">
        <v>1.3365100000000001</v>
      </c>
      <c r="E61" s="2">
        <f t="shared" si="1"/>
        <v>1.3363995263294988</v>
      </c>
      <c r="F61">
        <f t="shared" si="0"/>
        <v>1.1047367050132095E-4</v>
      </c>
      <c r="H61" s="1"/>
    </row>
    <row r="62" spans="1:8" x14ac:dyDescent="0.25">
      <c r="A62" s="38">
        <v>3.3279999999999998E-3</v>
      </c>
      <c r="B62" s="38">
        <v>1.33571</v>
      </c>
      <c r="E62" s="2">
        <f t="shared" si="1"/>
        <v>1.334904242001796</v>
      </c>
      <c r="F62">
        <f t="shared" si="0"/>
        <v>8.0575799820392646E-4</v>
      </c>
      <c r="H62" s="1"/>
    </row>
    <row r="63" spans="1:8" x14ac:dyDescent="0.25">
      <c r="A63" s="38">
        <v>3.5839999999999999E-3</v>
      </c>
      <c r="B63" s="38">
        <v>1.3333600000000001</v>
      </c>
      <c r="E63" s="2">
        <f t="shared" si="1"/>
        <v>1.3335013931738233</v>
      </c>
      <c r="F63">
        <f t="shared" si="0"/>
        <v>-1.4139317382322325E-4</v>
      </c>
      <c r="H63" s="1"/>
    </row>
    <row r="64" spans="1:8" x14ac:dyDescent="0.25">
      <c r="A64" s="38">
        <v>3.8400000000000001E-3</v>
      </c>
      <c r="B64" s="38">
        <v>1.3266</v>
      </c>
      <c r="E64" s="2">
        <f t="shared" si="1"/>
        <v>1.332183856316111</v>
      </c>
      <c r="F64">
        <f t="shared" si="0"/>
        <v>-5.5838563161110244E-3</v>
      </c>
      <c r="H64" s="1"/>
    </row>
    <row r="65" spans="1:8" x14ac:dyDescent="0.25">
      <c r="A65" s="38">
        <v>4.0959999999999998E-3</v>
      </c>
      <c r="B65" s="38">
        <v>1.3301000000000001</v>
      </c>
      <c r="E65" s="2">
        <f t="shared" si="1"/>
        <v>1.3309450610562528</v>
      </c>
      <c r="F65">
        <f t="shared" si="0"/>
        <v>-8.45061056252705E-4</v>
      </c>
      <c r="H65" s="1"/>
    </row>
    <row r="66" spans="1:8" x14ac:dyDescent="0.25">
      <c r="A66" s="38">
        <v>4.6080000000000001E-3</v>
      </c>
      <c r="B66" s="38">
        <v>1.3292900000000001</v>
      </c>
      <c r="E66" s="2">
        <f t="shared" si="1"/>
        <v>1.3286799250957011</v>
      </c>
      <c r="F66">
        <f t="shared" ref="F66:F129" si="2">B66-E66</f>
        <v>6.1007490429898503E-4</v>
      </c>
      <c r="H66" s="1"/>
    </row>
    <row r="67" spans="1:8" x14ac:dyDescent="0.25">
      <c r="A67" s="38">
        <v>5.1200000000000004E-3</v>
      </c>
      <c r="B67" s="38">
        <v>1.3269299999999999</v>
      </c>
      <c r="E67" s="2">
        <f t="shared" ref="E67:E130" si="3">$D$2+1/$D$3*($D$8/(1+A67/$D$4)/SQRT(1+A67/$D$4/$D$5/$D$5)+(1-$D$8)/(1+A67/$D$6)/SQRT(1+A67/$D$6/$D$7/$D$7))*(1+$D$9*EXP(-A67/$D$10)+$D$11*EXP(-A67/$D$12))</f>
        <v>1.3266629337218461</v>
      </c>
      <c r="F67">
        <f t="shared" si="2"/>
        <v>2.6706627815387129E-4</v>
      </c>
      <c r="H67" s="1"/>
    </row>
    <row r="68" spans="1:8" x14ac:dyDescent="0.25">
      <c r="A68" s="38">
        <v>5.6319999999999999E-3</v>
      </c>
      <c r="B68" s="38">
        <v>1.32453</v>
      </c>
      <c r="E68" s="2">
        <f t="shared" si="3"/>
        <v>1.3248574605959849</v>
      </c>
      <c r="F68">
        <f t="shared" si="2"/>
        <v>-3.274605959848742E-4</v>
      </c>
      <c r="H68" s="1"/>
    </row>
    <row r="69" spans="1:8" x14ac:dyDescent="0.25">
      <c r="A69" s="38">
        <v>6.1440000000000002E-3</v>
      </c>
      <c r="B69" s="38">
        <v>1.3222799999999999</v>
      </c>
      <c r="E69" s="2">
        <f t="shared" si="3"/>
        <v>1.3232323450483761</v>
      </c>
      <c r="F69">
        <f t="shared" si="2"/>
        <v>-9.5234504837615752E-4</v>
      </c>
      <c r="H69" s="1"/>
    </row>
    <row r="70" spans="1:8" x14ac:dyDescent="0.25">
      <c r="A70" s="38">
        <v>6.6559999999999996E-3</v>
      </c>
      <c r="B70" s="38">
        <v>1.32551</v>
      </c>
      <c r="E70" s="2">
        <f t="shared" si="3"/>
        <v>1.3217610758530789</v>
      </c>
      <c r="F70">
        <f t="shared" si="2"/>
        <v>3.7489241469210732E-3</v>
      </c>
      <c r="H70" s="1"/>
    </row>
    <row r="71" spans="1:8" x14ac:dyDescent="0.25">
      <c r="A71" s="38">
        <v>7.1679999999999999E-3</v>
      </c>
      <c r="B71" s="38">
        <v>1.3220799999999999</v>
      </c>
      <c r="E71" s="2">
        <f t="shared" si="3"/>
        <v>1.3204210969242565</v>
      </c>
      <c r="F71">
        <f t="shared" si="2"/>
        <v>1.6589030757434564E-3</v>
      </c>
      <c r="H71" s="1"/>
    </row>
    <row r="72" spans="1:8" x14ac:dyDescent="0.25">
      <c r="A72" s="38">
        <v>7.6800000000000002E-3</v>
      </c>
      <c r="B72" s="38">
        <v>1.3248800000000001</v>
      </c>
      <c r="E72" s="2">
        <f t="shared" si="3"/>
        <v>1.3191932167183746</v>
      </c>
      <c r="F72">
        <f t="shared" si="2"/>
        <v>5.6867832816254182E-3</v>
      </c>
      <c r="H72" s="1"/>
    </row>
    <row r="73" spans="1:8" x14ac:dyDescent="0.25">
      <c r="A73" s="38">
        <v>8.1919999999999996E-3</v>
      </c>
      <c r="B73" s="38">
        <v>1.3217699999999999</v>
      </c>
      <c r="E73" s="2">
        <f t="shared" si="3"/>
        <v>1.3180611058488054</v>
      </c>
      <c r="F73">
        <f t="shared" si="2"/>
        <v>3.708894151194464E-3</v>
      </c>
      <c r="H73" s="1"/>
    </row>
    <row r="74" spans="1:8" x14ac:dyDescent="0.25">
      <c r="A74" s="38">
        <v>9.2160000000000002E-3</v>
      </c>
      <c r="B74" s="38">
        <v>1.3185500000000001</v>
      </c>
      <c r="E74" s="2">
        <f t="shared" si="3"/>
        <v>1.3160306850738821</v>
      </c>
      <c r="F74">
        <f t="shared" si="2"/>
        <v>2.5193149261180103E-3</v>
      </c>
      <c r="H74" s="1"/>
    </row>
    <row r="75" spans="1:8" x14ac:dyDescent="0.25">
      <c r="A75" s="38">
        <v>1.0240000000000001E-2</v>
      </c>
      <c r="B75" s="38">
        <v>1.3165</v>
      </c>
      <c r="E75" s="2">
        <f t="shared" si="3"/>
        <v>1.3142417240705757</v>
      </c>
      <c r="F75">
        <f t="shared" si="2"/>
        <v>2.2582759294242916E-3</v>
      </c>
      <c r="H75" s="1"/>
    </row>
    <row r="76" spans="1:8" x14ac:dyDescent="0.25">
      <c r="A76" s="38">
        <v>1.1264E-2</v>
      </c>
      <c r="B76" s="38">
        <v>1.31491</v>
      </c>
      <c r="E76" s="2">
        <f t="shared" si="3"/>
        <v>1.31263041142951</v>
      </c>
      <c r="F76">
        <f t="shared" si="2"/>
        <v>2.2795885704900432E-3</v>
      </c>
      <c r="H76" s="1"/>
    </row>
    <row r="77" spans="1:8" x14ac:dyDescent="0.25">
      <c r="A77" s="38">
        <v>1.2288E-2</v>
      </c>
      <c r="B77" s="38">
        <v>1.3133300000000001</v>
      </c>
      <c r="E77" s="2">
        <f t="shared" si="3"/>
        <v>1.3111505216609511</v>
      </c>
      <c r="F77">
        <f t="shared" si="2"/>
        <v>2.179478339048968E-3</v>
      </c>
      <c r="H77" s="1"/>
    </row>
    <row r="78" spans="1:8" x14ac:dyDescent="0.25">
      <c r="A78" s="38">
        <v>1.3311999999999999E-2</v>
      </c>
      <c r="B78" s="38">
        <v>1.3108500000000001</v>
      </c>
      <c r="E78" s="2">
        <f t="shared" si="3"/>
        <v>1.3097685571877116</v>
      </c>
      <c r="F78">
        <f t="shared" si="2"/>
        <v>1.0814428122885023E-3</v>
      </c>
      <c r="H78" s="1"/>
    </row>
    <row r="79" spans="1:8" x14ac:dyDescent="0.25">
      <c r="A79" s="38">
        <v>1.4336E-2</v>
      </c>
      <c r="B79" s="38">
        <v>1.3100400000000001</v>
      </c>
      <c r="E79" s="2">
        <f t="shared" si="3"/>
        <v>1.308460232757287</v>
      </c>
      <c r="F79">
        <f t="shared" si="2"/>
        <v>1.5797672427131371E-3</v>
      </c>
      <c r="H79" s="1"/>
    </row>
    <row r="80" spans="1:8" x14ac:dyDescent="0.25">
      <c r="A80" s="38">
        <v>1.536E-2</v>
      </c>
      <c r="B80" s="38">
        <v>1.3077099999999999</v>
      </c>
      <c r="E80" s="2">
        <f t="shared" si="3"/>
        <v>1.3072079312544276</v>
      </c>
      <c r="F80">
        <f t="shared" si="2"/>
        <v>5.0206874557234826E-4</v>
      </c>
      <c r="H80" s="1"/>
    </row>
    <row r="81" spans="1:8" x14ac:dyDescent="0.25">
      <c r="A81" s="38">
        <v>1.6383999999999999E-2</v>
      </c>
      <c r="B81" s="38">
        <v>1.30535</v>
      </c>
      <c r="E81" s="2">
        <f t="shared" si="3"/>
        <v>1.3059988624554091</v>
      </c>
      <c r="F81">
        <f t="shared" si="2"/>
        <v>-6.4886245540907161E-4</v>
      </c>
      <c r="H81" s="1"/>
    </row>
    <row r="82" spans="1:8" x14ac:dyDescent="0.25">
      <c r="A82" s="38">
        <v>1.8432E-2</v>
      </c>
      <c r="B82" s="38">
        <v>1.30352</v>
      </c>
      <c r="E82" s="2">
        <f t="shared" si="3"/>
        <v>1.30367576930616</v>
      </c>
      <c r="F82">
        <f t="shared" si="2"/>
        <v>-1.5576930616001405E-4</v>
      </c>
      <c r="H82" s="1"/>
    </row>
    <row r="83" spans="1:8" x14ac:dyDescent="0.25">
      <c r="A83" s="38">
        <v>2.0480000000000002E-2</v>
      </c>
      <c r="B83" s="38">
        <v>1.3029900000000001</v>
      </c>
      <c r="E83" s="2">
        <f t="shared" si="3"/>
        <v>1.3014429496117137</v>
      </c>
      <c r="F83">
        <f t="shared" si="2"/>
        <v>1.5470503882863973E-3</v>
      </c>
      <c r="H83" s="1"/>
    </row>
    <row r="84" spans="1:8" x14ac:dyDescent="0.25">
      <c r="A84" s="38">
        <v>2.2527999999999999E-2</v>
      </c>
      <c r="B84" s="38">
        <v>1.29887</v>
      </c>
      <c r="E84" s="2">
        <f t="shared" si="3"/>
        <v>1.2992747570205185</v>
      </c>
      <c r="F84">
        <f t="shared" si="2"/>
        <v>-4.0475702051856466E-4</v>
      </c>
      <c r="H84" s="1"/>
    </row>
    <row r="85" spans="1:8" x14ac:dyDescent="0.25">
      <c r="A85" s="38">
        <v>2.4576000000000001E-2</v>
      </c>
      <c r="B85" s="38">
        <v>1.2973399999999999</v>
      </c>
      <c r="E85" s="2">
        <f t="shared" si="3"/>
        <v>1.2971572776937286</v>
      </c>
      <c r="F85">
        <f t="shared" si="2"/>
        <v>1.8272230627136565E-4</v>
      </c>
      <c r="H85" s="1"/>
    </row>
    <row r="86" spans="1:8" x14ac:dyDescent="0.25">
      <c r="A86" s="38">
        <v>2.6623999999999998E-2</v>
      </c>
      <c r="B86" s="38">
        <v>1.29467</v>
      </c>
      <c r="E86" s="2">
        <f t="shared" si="3"/>
        <v>1.2950827631145252</v>
      </c>
      <c r="F86">
        <f t="shared" si="2"/>
        <v>-4.1276311452520531E-4</v>
      </c>
      <c r="H86" s="1"/>
    </row>
    <row r="87" spans="1:8" x14ac:dyDescent="0.25">
      <c r="A87" s="38">
        <v>2.8672E-2</v>
      </c>
      <c r="B87" s="38">
        <v>1.2929200000000001</v>
      </c>
      <c r="E87" s="2">
        <f t="shared" si="3"/>
        <v>1.29304671238136</v>
      </c>
      <c r="F87">
        <f t="shared" si="2"/>
        <v>-1.2671238135997243E-4</v>
      </c>
      <c r="H87" s="1"/>
    </row>
    <row r="88" spans="1:8" x14ac:dyDescent="0.25">
      <c r="A88" s="38">
        <v>3.0720000000000001E-2</v>
      </c>
      <c r="B88" s="38">
        <v>1.2911999999999999</v>
      </c>
      <c r="E88" s="2">
        <f t="shared" si="3"/>
        <v>1.2910463425961365</v>
      </c>
      <c r="F88">
        <f t="shared" si="2"/>
        <v>1.5365740386341642E-4</v>
      </c>
      <c r="H88" s="1"/>
    </row>
    <row r="89" spans="1:8" x14ac:dyDescent="0.25">
      <c r="A89" s="38">
        <v>3.2767999999999999E-2</v>
      </c>
      <c r="B89" s="38">
        <v>1.28871</v>
      </c>
      <c r="E89" s="2">
        <f t="shared" si="3"/>
        <v>1.2890797865728401</v>
      </c>
      <c r="F89">
        <f t="shared" si="2"/>
        <v>-3.6978657284003624E-4</v>
      </c>
      <c r="H89" s="1"/>
    </row>
    <row r="90" spans="1:8" x14ac:dyDescent="0.25">
      <c r="A90" s="38">
        <v>3.6864000000000001E-2</v>
      </c>
      <c r="B90" s="38">
        <v>1.2847999999999999</v>
      </c>
      <c r="E90" s="2">
        <f t="shared" si="3"/>
        <v>1.2852428985108379</v>
      </c>
      <c r="F90">
        <f t="shared" si="2"/>
        <v>-4.4289851083800791E-4</v>
      </c>
      <c r="H90" s="1"/>
    </row>
    <row r="91" spans="1:8" x14ac:dyDescent="0.25">
      <c r="A91" s="38">
        <v>4.0960000000000003E-2</v>
      </c>
      <c r="B91" s="38">
        <v>1.2800499999999999</v>
      </c>
      <c r="E91" s="2">
        <f t="shared" si="3"/>
        <v>1.2815277004324606</v>
      </c>
      <c r="F91">
        <f t="shared" si="2"/>
        <v>-1.4777004324606491E-3</v>
      </c>
      <c r="H91" s="1"/>
    </row>
    <row r="92" spans="1:8" x14ac:dyDescent="0.25">
      <c r="A92" s="38">
        <v>4.5055999999999999E-2</v>
      </c>
      <c r="B92" s="38">
        <v>1.2765899999999999</v>
      </c>
      <c r="E92" s="2">
        <f t="shared" si="3"/>
        <v>1.277927604291571</v>
      </c>
      <c r="F92">
        <f t="shared" si="2"/>
        <v>-1.3376042915711484E-3</v>
      </c>
      <c r="H92" s="1"/>
    </row>
    <row r="93" spans="1:8" x14ac:dyDescent="0.25">
      <c r="A93" s="38">
        <v>4.9152000000000001E-2</v>
      </c>
      <c r="B93" s="38">
        <v>1.2739100000000001</v>
      </c>
      <c r="E93" s="2">
        <f t="shared" si="3"/>
        <v>1.2744367947521553</v>
      </c>
      <c r="F93">
        <f t="shared" si="2"/>
        <v>-5.2679475215522409E-4</v>
      </c>
      <c r="H93" s="1"/>
    </row>
    <row r="94" spans="1:8" x14ac:dyDescent="0.25">
      <c r="A94" s="38">
        <v>5.3247999999999997E-2</v>
      </c>
      <c r="B94" s="38">
        <v>1.2703800000000001</v>
      </c>
      <c r="E94" s="2">
        <f t="shared" si="3"/>
        <v>1.2710499337701213</v>
      </c>
      <c r="F94">
        <f t="shared" si="2"/>
        <v>-6.6993377012125599E-4</v>
      </c>
      <c r="H94" s="1"/>
    </row>
    <row r="95" spans="1:8" x14ac:dyDescent="0.25">
      <c r="A95" s="38">
        <v>5.7343999999999999E-2</v>
      </c>
      <c r="B95" s="38">
        <v>1.2680199999999999</v>
      </c>
      <c r="E95" s="2">
        <f t="shared" si="3"/>
        <v>1.267762057634225</v>
      </c>
      <c r="F95">
        <f t="shared" si="2"/>
        <v>2.5794236577492136E-4</v>
      </c>
      <c r="H95" s="1"/>
    </row>
    <row r="96" spans="1:8" x14ac:dyDescent="0.25">
      <c r="A96" s="38">
        <v>6.1440000000000002E-2</v>
      </c>
      <c r="B96" s="38">
        <v>1.26302</v>
      </c>
      <c r="E96" s="2">
        <f t="shared" si="3"/>
        <v>1.264568529029678</v>
      </c>
      <c r="F96">
        <f t="shared" si="2"/>
        <v>-1.5485290296779475E-3</v>
      </c>
      <c r="H96" s="1"/>
    </row>
    <row r="97" spans="1:8" x14ac:dyDescent="0.25">
      <c r="A97" s="38">
        <v>6.5535999999999997E-2</v>
      </c>
      <c r="B97" s="38">
        <v>1.2606599999999999</v>
      </c>
      <c r="E97" s="2">
        <f t="shared" si="3"/>
        <v>1.2614650061086925</v>
      </c>
      <c r="F97">
        <f t="shared" si="2"/>
        <v>-8.0500610869260747E-4</v>
      </c>
      <c r="H97" s="1"/>
    </row>
    <row r="98" spans="1:8" x14ac:dyDescent="0.25">
      <c r="A98" s="38">
        <v>7.3728000000000002E-2</v>
      </c>
      <c r="B98" s="38">
        <v>1.2542599999999999</v>
      </c>
      <c r="E98" s="2">
        <f t="shared" si="3"/>
        <v>1.2555119430060879</v>
      </c>
      <c r="F98">
        <f t="shared" si="2"/>
        <v>-1.2519430060879966E-3</v>
      </c>
      <c r="H98" s="1"/>
    </row>
    <row r="99" spans="1:8" x14ac:dyDescent="0.25">
      <c r="A99" s="38">
        <v>8.1920000000000007E-2</v>
      </c>
      <c r="B99" s="38">
        <v>1.24861</v>
      </c>
      <c r="E99" s="2">
        <f t="shared" si="3"/>
        <v>1.2498731821381586</v>
      </c>
      <c r="F99">
        <f t="shared" si="2"/>
        <v>-1.2631821381585695E-3</v>
      </c>
      <c r="H99" s="1"/>
    </row>
    <row r="100" spans="1:8" x14ac:dyDescent="0.25">
      <c r="A100" s="38">
        <v>9.0111999999999998E-2</v>
      </c>
      <c r="B100" s="38">
        <v>1.2425600000000001</v>
      </c>
      <c r="E100" s="2">
        <f t="shared" si="3"/>
        <v>1.2445224593037065</v>
      </c>
      <c r="F100">
        <f t="shared" si="2"/>
        <v>-1.9624593037064209E-3</v>
      </c>
      <c r="H100" s="1"/>
    </row>
    <row r="101" spans="1:8" x14ac:dyDescent="0.25">
      <c r="A101" s="38">
        <v>9.8304000000000002E-2</v>
      </c>
      <c r="B101" s="38">
        <v>1.2381500000000001</v>
      </c>
      <c r="E101" s="2">
        <f t="shared" si="3"/>
        <v>1.2394364475623343</v>
      </c>
      <c r="F101">
        <f t="shared" si="2"/>
        <v>-1.2864475623342031E-3</v>
      </c>
      <c r="H101" s="1"/>
    </row>
    <row r="102" spans="1:8" x14ac:dyDescent="0.25">
      <c r="A102" s="38">
        <v>0.10649599999999999</v>
      </c>
      <c r="B102" s="38">
        <v>1.2327300000000001</v>
      </c>
      <c r="E102" s="2">
        <f t="shared" si="3"/>
        <v>1.2345943531763983</v>
      </c>
      <c r="F102">
        <f t="shared" si="2"/>
        <v>-1.8643531763982146E-3</v>
      </c>
      <c r="H102" s="1"/>
    </row>
    <row r="103" spans="1:8" x14ac:dyDescent="0.25">
      <c r="A103" s="38">
        <v>0.114688</v>
      </c>
      <c r="B103" s="38">
        <v>1.22837</v>
      </c>
      <c r="E103" s="2">
        <f t="shared" si="3"/>
        <v>1.2299775767546501</v>
      </c>
      <c r="F103">
        <f t="shared" si="2"/>
        <v>-1.6075767546501751E-3</v>
      </c>
      <c r="H103" s="1"/>
    </row>
    <row r="104" spans="1:8" x14ac:dyDescent="0.25">
      <c r="A104" s="38">
        <v>0.12288</v>
      </c>
      <c r="B104" s="38">
        <v>1.2240200000000001</v>
      </c>
      <c r="E104" s="2">
        <f t="shared" si="3"/>
        <v>1.2255694276101512</v>
      </c>
      <c r="F104">
        <f t="shared" si="2"/>
        <v>-1.5494276101510884E-3</v>
      </c>
      <c r="H104" s="1"/>
    </row>
    <row r="105" spans="1:8" x14ac:dyDescent="0.25">
      <c r="A105" s="38">
        <v>0.13107199999999999</v>
      </c>
      <c r="B105" s="38">
        <v>1.2201900000000001</v>
      </c>
      <c r="E105" s="2">
        <f t="shared" si="3"/>
        <v>1.2213548818145248</v>
      </c>
      <c r="F105">
        <f t="shared" si="2"/>
        <v>-1.1648818145246764E-3</v>
      </c>
      <c r="H105" s="1"/>
    </row>
    <row r="106" spans="1:8" x14ac:dyDescent="0.25">
      <c r="A106" s="38">
        <v>0.147456</v>
      </c>
      <c r="B106" s="38">
        <v>1.21193</v>
      </c>
      <c r="E106" s="2">
        <f t="shared" si="3"/>
        <v>1.2134536330827688</v>
      </c>
      <c r="F106">
        <f t="shared" si="2"/>
        <v>-1.523633082768816E-3</v>
      </c>
      <c r="H106" s="1"/>
    </row>
    <row r="107" spans="1:8" x14ac:dyDescent="0.25">
      <c r="A107" s="38">
        <v>0.16384000000000001</v>
      </c>
      <c r="B107" s="38">
        <v>1.2048300000000001</v>
      </c>
      <c r="E107" s="2">
        <f t="shared" si="3"/>
        <v>1.2061798610122025</v>
      </c>
      <c r="F107">
        <f t="shared" si="2"/>
        <v>-1.349861012202469E-3</v>
      </c>
      <c r="H107" s="1"/>
    </row>
    <row r="108" spans="1:8" x14ac:dyDescent="0.25">
      <c r="A108" s="38">
        <v>0.180224</v>
      </c>
      <c r="B108" s="38">
        <v>1.1985300000000001</v>
      </c>
      <c r="E108" s="2">
        <f t="shared" si="3"/>
        <v>1.1994558010835559</v>
      </c>
      <c r="F108">
        <f t="shared" si="2"/>
        <v>-9.2580108355577728E-4</v>
      </c>
      <c r="H108" s="1"/>
    </row>
    <row r="109" spans="1:8" x14ac:dyDescent="0.25">
      <c r="A109" s="38">
        <v>0.196608</v>
      </c>
      <c r="B109" s="38">
        <v>1.1916599999999999</v>
      </c>
      <c r="E109" s="2">
        <f t="shared" si="3"/>
        <v>1.1932164941522208</v>
      </c>
      <c r="F109">
        <f t="shared" si="2"/>
        <v>-1.5564941522208109E-3</v>
      </c>
      <c r="H109" s="1"/>
    </row>
    <row r="110" spans="1:8" x14ac:dyDescent="0.25">
      <c r="A110" s="38">
        <v>0.21299199999999999</v>
      </c>
      <c r="B110" s="38">
        <v>1.1854499999999999</v>
      </c>
      <c r="E110" s="2">
        <f t="shared" si="3"/>
        <v>1.1874072133995905</v>
      </c>
      <c r="F110">
        <f t="shared" si="2"/>
        <v>-1.9572133995906515E-3</v>
      </c>
      <c r="H110" s="1"/>
    </row>
    <row r="111" spans="1:8" x14ac:dyDescent="0.25">
      <c r="A111" s="38">
        <v>0.229376</v>
      </c>
      <c r="B111" s="38">
        <v>1.1809099999999999</v>
      </c>
      <c r="E111" s="2">
        <f t="shared" si="3"/>
        <v>1.1819814919351241</v>
      </c>
      <c r="F111">
        <f t="shared" si="2"/>
        <v>-1.0714919351242358E-3</v>
      </c>
      <c r="H111" s="1"/>
    </row>
    <row r="112" spans="1:8" x14ac:dyDescent="0.25">
      <c r="A112" s="38">
        <v>0.24576000000000001</v>
      </c>
      <c r="B112" s="38">
        <v>1.1754</v>
      </c>
      <c r="E112" s="2">
        <f t="shared" si="3"/>
        <v>1.1768995931093584</v>
      </c>
      <c r="F112">
        <f t="shared" si="2"/>
        <v>-1.4995931093584325E-3</v>
      </c>
      <c r="H112" s="1"/>
    </row>
    <row r="113" spans="1:8" x14ac:dyDescent="0.25">
      <c r="A113" s="38">
        <v>0.26214399999999999</v>
      </c>
      <c r="B113" s="38">
        <v>1.1708000000000001</v>
      </c>
      <c r="E113" s="2">
        <f t="shared" si="3"/>
        <v>1.1721273114041308</v>
      </c>
      <c r="F113">
        <f t="shared" si="2"/>
        <v>-1.3273114041307821E-3</v>
      </c>
      <c r="H113" s="1"/>
    </row>
    <row r="114" spans="1:8" x14ac:dyDescent="0.25">
      <c r="A114" s="38">
        <v>0.29491200000000001</v>
      </c>
      <c r="B114" s="38">
        <v>1.16187</v>
      </c>
      <c r="E114" s="2">
        <f t="shared" si="3"/>
        <v>1.1633969280753869</v>
      </c>
      <c r="F114">
        <f t="shared" si="2"/>
        <v>-1.5269280753869019E-3</v>
      </c>
      <c r="H114" s="1"/>
    </row>
    <row r="115" spans="1:8" x14ac:dyDescent="0.25">
      <c r="A115" s="38">
        <v>0.32768000000000003</v>
      </c>
      <c r="B115" s="38">
        <v>1.15486</v>
      </c>
      <c r="E115" s="2">
        <f t="shared" si="3"/>
        <v>1.1555956822412918</v>
      </c>
      <c r="F115">
        <f t="shared" si="2"/>
        <v>-7.3568224129183513E-4</v>
      </c>
      <c r="H115" s="1"/>
    </row>
    <row r="116" spans="1:8" x14ac:dyDescent="0.25">
      <c r="A116" s="38">
        <v>0.36044799999999999</v>
      </c>
      <c r="B116" s="38">
        <v>1.14785</v>
      </c>
      <c r="E116" s="2">
        <f t="shared" si="3"/>
        <v>1.1485731009091886</v>
      </c>
      <c r="F116">
        <f t="shared" si="2"/>
        <v>-7.2310090918858982E-4</v>
      </c>
      <c r="H116" s="1"/>
    </row>
    <row r="117" spans="1:8" x14ac:dyDescent="0.25">
      <c r="A117" s="38">
        <v>0.39321600000000001</v>
      </c>
      <c r="B117" s="38">
        <v>1.1417600000000001</v>
      </c>
      <c r="E117" s="2">
        <f t="shared" si="3"/>
        <v>1.1422107856606476</v>
      </c>
      <c r="F117">
        <f t="shared" si="2"/>
        <v>-4.5078566064749026E-4</v>
      </c>
      <c r="H117" s="1"/>
    </row>
    <row r="118" spans="1:8" x14ac:dyDescent="0.25">
      <c r="A118" s="38">
        <v>0.42598399999999997</v>
      </c>
      <c r="B118" s="38">
        <v>1.1357600000000001</v>
      </c>
      <c r="E118" s="2">
        <f t="shared" si="3"/>
        <v>1.1364141184572787</v>
      </c>
      <c r="F118">
        <f t="shared" si="2"/>
        <v>-6.541184572785852E-4</v>
      </c>
      <c r="H118" s="1"/>
    </row>
    <row r="119" spans="1:8" x14ac:dyDescent="0.25">
      <c r="A119" s="38">
        <v>0.45875199999999999</v>
      </c>
      <c r="B119" s="38">
        <v>1.1303799999999999</v>
      </c>
      <c r="E119" s="2">
        <f t="shared" si="3"/>
        <v>1.1311064438907181</v>
      </c>
      <c r="F119">
        <f t="shared" si="2"/>
        <v>-7.2644389071818694E-4</v>
      </c>
      <c r="H119" s="1"/>
    </row>
    <row r="120" spans="1:8" x14ac:dyDescent="0.25">
      <c r="A120" s="38">
        <v>0.49152000000000001</v>
      </c>
      <c r="B120" s="38">
        <v>1.1255200000000001</v>
      </c>
      <c r="E120" s="2">
        <f t="shared" si="3"/>
        <v>1.1262249008522733</v>
      </c>
      <c r="F120">
        <f t="shared" si="2"/>
        <v>-7.0490085227326027E-4</v>
      </c>
      <c r="H120" s="1"/>
    </row>
    <row r="121" spans="1:8" x14ac:dyDescent="0.25">
      <c r="A121" s="38">
        <v>0.52428799999999998</v>
      </c>
      <c r="B121" s="38">
        <v>1.12164</v>
      </c>
      <c r="E121" s="2">
        <f t="shared" si="3"/>
        <v>1.1217173789204429</v>
      </c>
      <c r="F121">
        <f t="shared" si="2"/>
        <v>-7.7378920442905397E-5</v>
      </c>
      <c r="H121" s="1"/>
    </row>
    <row r="122" spans="1:8" x14ac:dyDescent="0.25">
      <c r="A122" s="38">
        <v>0.58982400000000001</v>
      </c>
      <c r="B122" s="38">
        <v>1.1137699999999999</v>
      </c>
      <c r="E122" s="2">
        <f t="shared" si="3"/>
        <v>1.1136567035354556</v>
      </c>
      <c r="F122">
        <f t="shared" si="2"/>
        <v>1.1329646454427689E-4</v>
      </c>
      <c r="H122" s="1"/>
    </row>
    <row r="123" spans="1:8" x14ac:dyDescent="0.25">
      <c r="A123" s="38">
        <v>0.65536000000000005</v>
      </c>
      <c r="B123" s="38">
        <v>1.1067499999999999</v>
      </c>
      <c r="E123" s="2">
        <f t="shared" si="3"/>
        <v>1.1066493588240354</v>
      </c>
      <c r="F123">
        <f t="shared" si="2"/>
        <v>1.0064117596453315E-4</v>
      </c>
      <c r="H123" s="1"/>
    </row>
    <row r="124" spans="1:8" x14ac:dyDescent="0.25">
      <c r="A124" s="38">
        <v>0.72089599999999998</v>
      </c>
      <c r="B124" s="38">
        <v>1.1009899999999999</v>
      </c>
      <c r="E124" s="2">
        <f t="shared" si="3"/>
        <v>1.1004936263530669</v>
      </c>
      <c r="F124">
        <f t="shared" si="2"/>
        <v>4.9637364693300157E-4</v>
      </c>
      <c r="H124" s="1"/>
    </row>
    <row r="125" spans="1:8" x14ac:dyDescent="0.25">
      <c r="A125" s="38">
        <v>0.78643200000000002</v>
      </c>
      <c r="B125" s="38">
        <v>1.09606</v>
      </c>
      <c r="E125" s="2">
        <f t="shared" si="3"/>
        <v>1.0950377120590826</v>
      </c>
      <c r="F125">
        <f t="shared" si="2"/>
        <v>1.0222879409174102E-3</v>
      </c>
      <c r="H125" s="1"/>
    </row>
    <row r="126" spans="1:8" x14ac:dyDescent="0.25">
      <c r="A126" s="38">
        <v>0.85196799999999995</v>
      </c>
      <c r="B126" s="38">
        <v>1.09118</v>
      </c>
      <c r="E126" s="2">
        <f t="shared" si="3"/>
        <v>1.0901648836013673</v>
      </c>
      <c r="F126">
        <f t="shared" si="2"/>
        <v>1.0151163986327205E-3</v>
      </c>
      <c r="H126" s="1"/>
    </row>
    <row r="127" spans="1:8" x14ac:dyDescent="0.25">
      <c r="A127" s="38">
        <v>0.91750399999999999</v>
      </c>
      <c r="B127" s="38">
        <v>1.08731</v>
      </c>
      <c r="E127" s="2">
        <f t="shared" si="3"/>
        <v>1.085783693320753</v>
      </c>
      <c r="F127">
        <f t="shared" si="2"/>
        <v>1.5263066792470248E-3</v>
      </c>
      <c r="H127" s="1"/>
    </row>
    <row r="128" spans="1:8" x14ac:dyDescent="0.25">
      <c r="A128" s="38">
        <v>0.98304000000000002</v>
      </c>
      <c r="B128" s="38">
        <v>1.08362</v>
      </c>
      <c r="E128" s="2">
        <f t="shared" si="3"/>
        <v>1.0818213469946762</v>
      </c>
      <c r="F128">
        <f t="shared" si="2"/>
        <v>1.7986530053237804E-3</v>
      </c>
      <c r="H128" s="1"/>
    </row>
    <row r="129" spans="1:8" x14ac:dyDescent="0.25">
      <c r="A129" s="38">
        <v>1.048576</v>
      </c>
      <c r="B129" s="38">
        <v>1.0802099999999999</v>
      </c>
      <c r="E129" s="2">
        <f t="shared" si="3"/>
        <v>1.0782190858515841</v>
      </c>
      <c r="F129">
        <f t="shared" si="2"/>
        <v>1.99091414841579E-3</v>
      </c>
      <c r="H129" s="1"/>
    </row>
    <row r="130" spans="1:8" x14ac:dyDescent="0.25">
      <c r="A130" s="38">
        <v>1.179648</v>
      </c>
      <c r="B130" s="38">
        <v>1.0734900000000001</v>
      </c>
      <c r="E130" s="2">
        <f t="shared" si="3"/>
        <v>1.0719111138402801</v>
      </c>
      <c r="F130">
        <f t="shared" ref="F130:F193" si="4">B130-E130</f>
        <v>1.5788861597199055E-3</v>
      </c>
      <c r="H130" s="1"/>
    </row>
    <row r="131" spans="1:8" x14ac:dyDescent="0.25">
      <c r="A131" s="38">
        <v>1.3107200000000001</v>
      </c>
      <c r="B131" s="38">
        <v>1.06839</v>
      </c>
      <c r="E131" s="2">
        <f t="shared" ref="E131:E194" si="5">$D$2+1/$D$3*($D$8/(1+A131/$D$4)/SQRT(1+A131/$D$4/$D$5/$D$5)+(1-$D$8)/(1+A131/$D$6)/SQRT(1+A131/$D$6/$D$7/$D$7))*(1+$D$9*EXP(-A131/$D$10)+$D$11*EXP(-A131/$D$12))</f>
        <v>1.0665656902901282</v>
      </c>
      <c r="F131">
        <f t="shared" si="4"/>
        <v>1.8243097098717964E-3</v>
      </c>
      <c r="H131" s="1"/>
    </row>
    <row r="132" spans="1:8" x14ac:dyDescent="0.25">
      <c r="A132" s="38">
        <v>1.441792</v>
      </c>
      <c r="B132" s="38">
        <v>1.06382</v>
      </c>
      <c r="E132" s="2">
        <f t="shared" si="5"/>
        <v>1.0619752441451966</v>
      </c>
      <c r="F132">
        <f t="shared" si="4"/>
        <v>1.8447558548033705E-3</v>
      </c>
      <c r="H132" s="1"/>
    </row>
    <row r="133" spans="1:8" x14ac:dyDescent="0.25">
      <c r="A133" s="38">
        <v>1.572864</v>
      </c>
      <c r="B133" s="38">
        <v>1.06019</v>
      </c>
      <c r="E133" s="2">
        <f t="shared" si="5"/>
        <v>1.0579886910212777</v>
      </c>
      <c r="F133">
        <f t="shared" si="4"/>
        <v>2.2013089787222828E-3</v>
      </c>
      <c r="H133" s="1"/>
    </row>
    <row r="134" spans="1:8" x14ac:dyDescent="0.25">
      <c r="A134" s="38">
        <v>1.7039359999999999</v>
      </c>
      <c r="B134" s="38">
        <v>1.05663</v>
      </c>
      <c r="E134" s="2">
        <f t="shared" si="5"/>
        <v>1.0544932224190178</v>
      </c>
      <c r="F134">
        <f t="shared" si="4"/>
        <v>2.1367775809821854E-3</v>
      </c>
      <c r="H134" s="1"/>
    </row>
    <row r="135" spans="1:8" x14ac:dyDescent="0.25">
      <c r="A135" s="38">
        <v>1.835008</v>
      </c>
      <c r="B135" s="38">
        <v>1.05375</v>
      </c>
      <c r="E135" s="2">
        <f t="shared" si="5"/>
        <v>1.0514027791478699</v>
      </c>
      <c r="F135">
        <f t="shared" si="4"/>
        <v>2.3472208521300164E-3</v>
      </c>
      <c r="H135" s="1"/>
    </row>
    <row r="136" spans="1:8" x14ac:dyDescent="0.25">
      <c r="A136" s="38">
        <v>1.96608</v>
      </c>
      <c r="B136" s="38">
        <v>1.05111</v>
      </c>
      <c r="E136" s="2">
        <f t="shared" si="5"/>
        <v>1.0486504901500766</v>
      </c>
      <c r="F136">
        <f t="shared" si="4"/>
        <v>2.4595098499233803E-3</v>
      </c>
      <c r="H136" s="1"/>
    </row>
    <row r="137" spans="1:8" x14ac:dyDescent="0.25">
      <c r="A137" s="38">
        <v>2.0971519999999999</v>
      </c>
      <c r="B137" s="38">
        <v>1.0487</v>
      </c>
      <c r="E137" s="2">
        <f t="shared" si="5"/>
        <v>1.0461835599628666</v>
      </c>
      <c r="F137">
        <f t="shared" si="4"/>
        <v>2.5164400371333606E-3</v>
      </c>
      <c r="H137" s="1"/>
    </row>
    <row r="138" spans="1:8" x14ac:dyDescent="0.25">
      <c r="A138" s="38">
        <v>2.3592960000000001</v>
      </c>
      <c r="B138" s="38">
        <v>1.04433</v>
      </c>
      <c r="E138" s="2">
        <f t="shared" si="5"/>
        <v>1.0419447132078006</v>
      </c>
      <c r="F138">
        <f t="shared" si="4"/>
        <v>2.3852867921994036E-3</v>
      </c>
      <c r="H138" s="1"/>
    </row>
    <row r="139" spans="1:8" x14ac:dyDescent="0.25">
      <c r="A139" s="38">
        <v>2.6214400000000002</v>
      </c>
      <c r="B139" s="38">
        <v>1.0411300000000001</v>
      </c>
      <c r="E139" s="2">
        <f t="shared" si="5"/>
        <v>1.0384337389833844</v>
      </c>
      <c r="F139">
        <f t="shared" si="4"/>
        <v>2.6962610166156864E-3</v>
      </c>
      <c r="H139" s="1"/>
    </row>
    <row r="140" spans="1:8" x14ac:dyDescent="0.25">
      <c r="A140" s="38">
        <v>2.8835839999999999</v>
      </c>
      <c r="B140" s="38">
        <v>1.0382</v>
      </c>
      <c r="E140" s="2">
        <f t="shared" si="5"/>
        <v>1.035478343160712</v>
      </c>
      <c r="F140">
        <f t="shared" si="4"/>
        <v>2.7216568392880447E-3</v>
      </c>
      <c r="H140" s="1"/>
    </row>
    <row r="141" spans="1:8" x14ac:dyDescent="0.25">
      <c r="A141" s="38">
        <v>3.1457280000000001</v>
      </c>
      <c r="B141" s="38">
        <v>1.03556</v>
      </c>
      <c r="E141" s="2">
        <f t="shared" si="5"/>
        <v>1.0329567987648707</v>
      </c>
      <c r="F141">
        <f t="shared" si="4"/>
        <v>2.6032012351293599E-3</v>
      </c>
      <c r="H141" s="1"/>
    </row>
    <row r="142" spans="1:8" x14ac:dyDescent="0.25">
      <c r="A142" s="38">
        <v>3.4078719999999998</v>
      </c>
      <c r="B142" s="38">
        <v>1.0330299999999999</v>
      </c>
      <c r="E142" s="2">
        <f t="shared" si="5"/>
        <v>1.0307805960319474</v>
      </c>
      <c r="F142">
        <f t="shared" si="4"/>
        <v>2.2494039680525102E-3</v>
      </c>
      <c r="H142" s="1"/>
    </row>
    <row r="143" spans="1:8" x14ac:dyDescent="0.25">
      <c r="A143" s="38">
        <v>3.6700159999999999</v>
      </c>
      <c r="B143" s="38">
        <v>1.03115</v>
      </c>
      <c r="E143" s="2">
        <f t="shared" si="5"/>
        <v>1.0288838012614463</v>
      </c>
      <c r="F143">
        <f t="shared" si="4"/>
        <v>2.2661987385537152E-3</v>
      </c>
      <c r="H143" s="1"/>
    </row>
    <row r="144" spans="1:8" x14ac:dyDescent="0.25">
      <c r="A144" s="38">
        <v>3.9321600000000001</v>
      </c>
      <c r="B144" s="38">
        <v>1.0291399999999999</v>
      </c>
      <c r="E144" s="2">
        <f t="shared" si="5"/>
        <v>1.0272162721338889</v>
      </c>
      <c r="F144">
        <f t="shared" si="4"/>
        <v>1.9237278661110579E-3</v>
      </c>
      <c r="H144" s="1"/>
    </row>
    <row r="145" spans="1:8" x14ac:dyDescent="0.25">
      <c r="A145" s="38">
        <v>4.1943039999999998</v>
      </c>
      <c r="B145" s="38">
        <v>1.0275700000000001</v>
      </c>
      <c r="E145" s="2">
        <f t="shared" si="5"/>
        <v>1.0257391874124588</v>
      </c>
      <c r="F145">
        <f t="shared" si="4"/>
        <v>1.8308125875412529E-3</v>
      </c>
      <c r="H145" s="1"/>
    </row>
    <row r="146" spans="1:8" x14ac:dyDescent="0.25">
      <c r="A146" s="38">
        <v>4.7185920000000001</v>
      </c>
      <c r="B146" s="38">
        <v>1.0246599999999999</v>
      </c>
      <c r="E146" s="2">
        <f t="shared" si="5"/>
        <v>1.0232404191317734</v>
      </c>
      <c r="F146">
        <f t="shared" si="4"/>
        <v>1.4195808682264666E-3</v>
      </c>
      <c r="H146" s="1"/>
    </row>
    <row r="147" spans="1:8" x14ac:dyDescent="0.25">
      <c r="A147" s="38">
        <v>5.2428800000000004</v>
      </c>
      <c r="B147" s="38">
        <v>1.0222</v>
      </c>
      <c r="E147" s="2">
        <f t="shared" si="5"/>
        <v>1.0212089577819712</v>
      </c>
      <c r="F147">
        <f t="shared" si="4"/>
        <v>9.9104221802881476E-4</v>
      </c>
      <c r="H147" s="1"/>
    </row>
    <row r="148" spans="1:8" x14ac:dyDescent="0.25">
      <c r="A148" s="38">
        <v>5.7671679999999999</v>
      </c>
      <c r="B148" s="38">
        <v>1.02014</v>
      </c>
      <c r="E148" s="2">
        <f t="shared" si="5"/>
        <v>1.0195264134447097</v>
      </c>
      <c r="F148">
        <f t="shared" si="4"/>
        <v>6.1358655529031303E-4</v>
      </c>
      <c r="H148" s="1"/>
    </row>
    <row r="149" spans="1:8" x14ac:dyDescent="0.25">
      <c r="A149" s="38">
        <v>6.2914560000000002</v>
      </c>
      <c r="B149" s="38">
        <v>1.01814</v>
      </c>
      <c r="E149" s="2">
        <f t="shared" si="5"/>
        <v>1.0181111775183225</v>
      </c>
      <c r="F149">
        <f t="shared" si="4"/>
        <v>2.8822481677570622E-5</v>
      </c>
      <c r="H149" s="1"/>
    </row>
    <row r="150" spans="1:8" x14ac:dyDescent="0.25">
      <c r="A150" s="38">
        <v>6.8157439999999996</v>
      </c>
      <c r="B150" s="38">
        <v>1.0174399999999999</v>
      </c>
      <c r="E150" s="2">
        <f t="shared" si="5"/>
        <v>1.0169051711436836</v>
      </c>
      <c r="F150">
        <f t="shared" si="4"/>
        <v>5.3482885631628285E-4</v>
      </c>
      <c r="H150" s="1"/>
    </row>
    <row r="151" spans="1:8" x14ac:dyDescent="0.25">
      <c r="A151" s="38">
        <v>7.3400319999999999</v>
      </c>
      <c r="B151" s="38">
        <v>1.0167600000000001</v>
      </c>
      <c r="E151" s="2">
        <f t="shared" si="5"/>
        <v>1.0158659401717576</v>
      </c>
      <c r="F151">
        <f t="shared" si="4"/>
        <v>8.9405982824253272E-4</v>
      </c>
      <c r="H151" s="1"/>
    </row>
    <row r="152" spans="1:8" x14ac:dyDescent="0.25">
      <c r="A152" s="38">
        <v>7.8643200000000002</v>
      </c>
      <c r="B152" s="38">
        <v>1.01555</v>
      </c>
      <c r="E152" s="2">
        <f t="shared" si="5"/>
        <v>1.0149617370186921</v>
      </c>
      <c r="F152">
        <f t="shared" si="4"/>
        <v>5.8826298130787436E-4</v>
      </c>
      <c r="H152" s="1"/>
    </row>
    <row r="153" spans="1:8" x14ac:dyDescent="0.25">
      <c r="A153" s="38">
        <v>8.3886079999999996</v>
      </c>
      <c r="B153" s="38">
        <v>1.0148999999999999</v>
      </c>
      <c r="E153" s="2">
        <f t="shared" si="5"/>
        <v>1.0141683501291048</v>
      </c>
      <c r="F153">
        <f t="shared" si="4"/>
        <v>7.3164987089513467E-4</v>
      </c>
      <c r="H153" s="1"/>
    </row>
    <row r="154" spans="1:8" x14ac:dyDescent="0.25">
      <c r="A154" s="38">
        <v>9.4371840000000002</v>
      </c>
      <c r="B154" s="38">
        <v>1.0139</v>
      </c>
      <c r="E154" s="2">
        <f t="shared" si="5"/>
        <v>1.0128428855011504</v>
      </c>
      <c r="F154">
        <f t="shared" si="4"/>
        <v>1.0571144988495984E-3</v>
      </c>
      <c r="H154" s="1"/>
    </row>
    <row r="155" spans="1:8" x14ac:dyDescent="0.25">
      <c r="A155" s="38">
        <v>10.485760000000001</v>
      </c>
      <c r="B155" s="38">
        <v>1.01187</v>
      </c>
      <c r="E155" s="2">
        <f t="shared" si="5"/>
        <v>1.0117814405415213</v>
      </c>
      <c r="F155">
        <f t="shared" si="4"/>
        <v>8.8559458478743025E-5</v>
      </c>
      <c r="H155" s="1"/>
    </row>
    <row r="156" spans="1:8" x14ac:dyDescent="0.25">
      <c r="A156" s="38">
        <v>11.534336</v>
      </c>
      <c r="B156" s="38">
        <v>1.01017</v>
      </c>
      <c r="E156" s="2">
        <f t="shared" si="5"/>
        <v>1.0109138488909828</v>
      </c>
      <c r="F156">
        <f t="shared" si="4"/>
        <v>-7.4384889098277895E-4</v>
      </c>
      <c r="H156" s="1"/>
    </row>
    <row r="157" spans="1:8" x14ac:dyDescent="0.25">
      <c r="A157" s="38">
        <v>12.582912</v>
      </c>
      <c r="B157" s="38">
        <v>1.0099199999999999</v>
      </c>
      <c r="E157" s="2">
        <f t="shared" si="5"/>
        <v>1.0101926190525594</v>
      </c>
      <c r="F157">
        <f t="shared" si="4"/>
        <v>-2.7261905255948626E-4</v>
      </c>
      <c r="H157" s="1"/>
    </row>
    <row r="158" spans="1:8" x14ac:dyDescent="0.25">
      <c r="A158" s="38">
        <v>13.631487999999999</v>
      </c>
      <c r="B158" s="38">
        <v>1.00928</v>
      </c>
      <c r="E158" s="2">
        <f t="shared" si="5"/>
        <v>1.0095844840112023</v>
      </c>
      <c r="F158">
        <f t="shared" si="4"/>
        <v>-3.0448401120231061E-4</v>
      </c>
      <c r="H158" s="1"/>
    </row>
    <row r="159" spans="1:8" x14ac:dyDescent="0.25">
      <c r="A159" s="38">
        <v>14.680064</v>
      </c>
      <c r="B159" s="38">
        <v>1.00844</v>
      </c>
      <c r="E159" s="2">
        <f t="shared" si="5"/>
        <v>1.0090654633084584</v>
      </c>
      <c r="F159">
        <f t="shared" si="4"/>
        <v>-6.2546330845836273E-4</v>
      </c>
      <c r="H159" s="1"/>
    </row>
    <row r="160" spans="1:8" x14ac:dyDescent="0.25">
      <c r="A160" s="38">
        <v>15.72864</v>
      </c>
      <c r="B160" s="38">
        <v>1.0078</v>
      </c>
      <c r="E160" s="2">
        <f t="shared" si="5"/>
        <v>1.0086178455769466</v>
      </c>
      <c r="F160">
        <f t="shared" si="4"/>
        <v>-8.1784557694652982E-4</v>
      </c>
      <c r="H160" s="1"/>
    </row>
    <row r="161" spans="1:8" x14ac:dyDescent="0.25">
      <c r="A161" s="38">
        <v>16.777215999999999</v>
      </c>
      <c r="B161" s="38">
        <v>1.0083299999999999</v>
      </c>
      <c r="E161" s="2">
        <f t="shared" si="5"/>
        <v>1.008228273820202</v>
      </c>
      <c r="F161">
        <f t="shared" si="4"/>
        <v>1.0172617979797849E-4</v>
      </c>
      <c r="H161" s="1"/>
    </row>
    <row r="162" spans="1:8" x14ac:dyDescent="0.25">
      <c r="A162" s="38">
        <v>18.874368</v>
      </c>
      <c r="B162" s="38">
        <v>1.0075000000000001</v>
      </c>
      <c r="E162" s="2">
        <f t="shared" si="5"/>
        <v>1.0075844929551911</v>
      </c>
      <c r="F162">
        <f t="shared" si="4"/>
        <v>-8.4492955191084462E-5</v>
      </c>
      <c r="H162" s="1"/>
    </row>
    <row r="163" spans="1:8" x14ac:dyDescent="0.25">
      <c r="A163" s="38">
        <v>20.971520000000002</v>
      </c>
      <c r="B163" s="38">
        <v>1.0062899999999999</v>
      </c>
      <c r="E163" s="2">
        <f t="shared" si="5"/>
        <v>1.0070757815223448</v>
      </c>
      <c r="F163">
        <f t="shared" si="4"/>
        <v>-7.8578152234487497E-4</v>
      </c>
      <c r="H163" s="1"/>
    </row>
    <row r="164" spans="1:8" x14ac:dyDescent="0.25">
      <c r="A164" s="38">
        <v>23.068671999999999</v>
      </c>
      <c r="B164" s="38">
        <v>1.00545</v>
      </c>
      <c r="E164" s="2">
        <f t="shared" si="5"/>
        <v>1.0066648853267537</v>
      </c>
      <c r="F164">
        <f t="shared" si="4"/>
        <v>-1.2148853267537341E-3</v>
      </c>
      <c r="H164" s="1"/>
    </row>
    <row r="165" spans="1:8" x14ac:dyDescent="0.25">
      <c r="A165" s="38">
        <v>25.165824000000001</v>
      </c>
      <c r="B165" s="38">
        <v>1.0050699999999999</v>
      </c>
      <c r="E165" s="2">
        <f t="shared" si="5"/>
        <v>1.0063269423661119</v>
      </c>
      <c r="F165">
        <f t="shared" si="4"/>
        <v>-1.2569423661119572E-3</v>
      </c>
      <c r="H165" s="1"/>
    </row>
    <row r="166" spans="1:8" x14ac:dyDescent="0.25">
      <c r="A166" s="38">
        <v>27.262975999999998</v>
      </c>
      <c r="B166" s="38">
        <v>1.0051099999999999</v>
      </c>
      <c r="E166" s="2">
        <f t="shared" si="5"/>
        <v>1.0060447528564014</v>
      </c>
      <c r="F166">
        <f t="shared" si="4"/>
        <v>-9.3475285640143291E-4</v>
      </c>
      <c r="H166" s="1"/>
    </row>
    <row r="167" spans="1:8" x14ac:dyDescent="0.25">
      <c r="A167" s="38">
        <v>29.360128</v>
      </c>
      <c r="B167" s="38">
        <v>1.0049600000000001</v>
      </c>
      <c r="E167" s="2">
        <f t="shared" si="5"/>
        <v>1.0058060560943478</v>
      </c>
      <c r="F167">
        <f t="shared" si="4"/>
        <v>-8.4605609434773577E-4</v>
      </c>
      <c r="H167" s="1"/>
    </row>
    <row r="168" spans="1:8" x14ac:dyDescent="0.25">
      <c r="A168" s="38">
        <v>31.457280000000001</v>
      </c>
      <c r="B168" s="38">
        <v>1.00543</v>
      </c>
      <c r="E168" s="2">
        <f t="shared" si="5"/>
        <v>1.0056018879584958</v>
      </c>
      <c r="F168">
        <f t="shared" si="4"/>
        <v>-1.7188795849576444E-4</v>
      </c>
      <c r="H168" s="1"/>
    </row>
    <row r="169" spans="1:8" x14ac:dyDescent="0.25">
      <c r="A169" s="38">
        <v>33.554431999999998</v>
      </c>
      <c r="B169" s="38">
        <v>1.0051699999999999</v>
      </c>
      <c r="E169" s="2">
        <f t="shared" si="5"/>
        <v>1.0054255506861682</v>
      </c>
      <c r="F169">
        <f t="shared" si="4"/>
        <v>-2.5555068616833765E-4</v>
      </c>
      <c r="H169" s="1"/>
    </row>
    <row r="170" spans="1:8" x14ac:dyDescent="0.25">
      <c r="A170" s="38">
        <v>37.748736000000001</v>
      </c>
      <c r="B170" s="38">
        <v>1.0036</v>
      </c>
      <c r="E170" s="2">
        <f t="shared" si="5"/>
        <v>1.0051371230331632</v>
      </c>
      <c r="F170">
        <f t="shared" si="4"/>
        <v>-1.5371230331631125E-3</v>
      </c>
      <c r="H170" s="1"/>
    </row>
    <row r="171" spans="1:8" x14ac:dyDescent="0.25">
      <c r="A171" s="38">
        <v>41.943040000000003</v>
      </c>
      <c r="B171" s="38">
        <v>1.00376</v>
      </c>
      <c r="E171" s="2">
        <f t="shared" si="5"/>
        <v>1.0049120654741368</v>
      </c>
      <c r="F171">
        <f t="shared" si="4"/>
        <v>-1.1520654741368208E-3</v>
      </c>
      <c r="H171" s="1"/>
    </row>
    <row r="172" spans="1:8" x14ac:dyDescent="0.25">
      <c r="A172" s="38">
        <v>46.137343999999999</v>
      </c>
      <c r="B172" s="38">
        <v>1.00366</v>
      </c>
      <c r="E172" s="2">
        <f t="shared" si="5"/>
        <v>1.0047323078069093</v>
      </c>
      <c r="F172">
        <f t="shared" si="4"/>
        <v>-1.0723078069092562E-3</v>
      </c>
      <c r="H172" s="1"/>
    </row>
    <row r="173" spans="1:8" x14ac:dyDescent="0.25">
      <c r="A173" s="38">
        <v>50.331648000000001</v>
      </c>
      <c r="B173" s="38">
        <v>1.00301</v>
      </c>
      <c r="E173" s="2">
        <f t="shared" si="5"/>
        <v>1.0045859442745082</v>
      </c>
      <c r="F173">
        <f t="shared" si="4"/>
        <v>-1.5759442745082453E-3</v>
      </c>
      <c r="H173" s="1"/>
    </row>
    <row r="174" spans="1:8" x14ac:dyDescent="0.25">
      <c r="A174" s="38">
        <v>54.525951999999997</v>
      </c>
      <c r="B174" s="38">
        <v>1.00349</v>
      </c>
      <c r="E174" s="2">
        <f t="shared" si="5"/>
        <v>1.0044648331588388</v>
      </c>
      <c r="F174">
        <f t="shared" si="4"/>
        <v>-9.7483315883883925E-4</v>
      </c>
      <c r="H174" s="1"/>
    </row>
    <row r="175" spans="1:8" x14ac:dyDescent="0.25">
      <c r="A175" s="38">
        <v>58.720255999999999</v>
      </c>
      <c r="B175" s="38">
        <v>1.0046200000000001</v>
      </c>
      <c r="E175" s="2">
        <f t="shared" si="5"/>
        <v>1.0043632317027378</v>
      </c>
      <c r="F175">
        <f t="shared" si="4"/>
        <v>2.5676829726228867E-4</v>
      </c>
      <c r="H175" s="1"/>
    </row>
    <row r="176" spans="1:8" x14ac:dyDescent="0.25">
      <c r="A176" s="38">
        <v>62.914560000000002</v>
      </c>
      <c r="B176" s="38">
        <v>1.0041899999999999</v>
      </c>
      <c r="E176" s="2">
        <f t="shared" si="5"/>
        <v>1.0042769818244008</v>
      </c>
      <c r="F176">
        <f t="shared" si="4"/>
        <v>-8.6981824400922392E-5</v>
      </c>
      <c r="H176" s="1"/>
    </row>
    <row r="177" spans="1:8" x14ac:dyDescent="0.25">
      <c r="A177" s="38">
        <v>67.108863999999997</v>
      </c>
      <c r="B177" s="38">
        <v>1.0039100000000001</v>
      </c>
      <c r="E177" s="2">
        <f t="shared" si="5"/>
        <v>1.0042030045225951</v>
      </c>
      <c r="F177">
        <f t="shared" si="4"/>
        <v>-2.9300452259506393E-4</v>
      </c>
      <c r="H177" s="1"/>
    </row>
    <row r="178" spans="1:8" x14ac:dyDescent="0.25">
      <c r="A178" s="38">
        <v>75.497472000000002</v>
      </c>
      <c r="B178" s="38">
        <v>1.00362</v>
      </c>
      <c r="E178" s="2">
        <f t="shared" si="5"/>
        <v>1.0040831079686448</v>
      </c>
      <c r="F178">
        <f t="shared" si="4"/>
        <v>-4.6310796864479364E-4</v>
      </c>
      <c r="H178" s="1"/>
    </row>
    <row r="179" spans="1:8" x14ac:dyDescent="0.25">
      <c r="A179" s="38">
        <v>83.886080000000007</v>
      </c>
      <c r="B179" s="38">
        <v>1.00281</v>
      </c>
      <c r="E179" s="2">
        <f t="shared" si="5"/>
        <v>1.003990584996187</v>
      </c>
      <c r="F179">
        <f t="shared" si="4"/>
        <v>-1.1805849961870063E-3</v>
      </c>
      <c r="H179" s="1"/>
    </row>
    <row r="180" spans="1:8" x14ac:dyDescent="0.25">
      <c r="A180" s="38">
        <v>92.274687999999998</v>
      </c>
      <c r="B180" s="38">
        <v>1.00176</v>
      </c>
      <c r="E180" s="2">
        <f t="shared" si="5"/>
        <v>1.0039173937444736</v>
      </c>
      <c r="F180">
        <f t="shared" si="4"/>
        <v>-2.1573937444736568E-3</v>
      </c>
      <c r="H180" s="1"/>
    </row>
    <row r="181" spans="1:8" x14ac:dyDescent="0.25">
      <c r="A181" s="38">
        <v>100.663296</v>
      </c>
      <c r="B181" s="38">
        <v>1.00207</v>
      </c>
      <c r="E181" s="2">
        <f t="shared" si="5"/>
        <v>1.0038583014308529</v>
      </c>
      <c r="F181">
        <f t="shared" si="4"/>
        <v>-1.7883014308528455E-3</v>
      </c>
      <c r="H181" s="1"/>
    </row>
    <row r="182" spans="1:8" x14ac:dyDescent="0.25">
      <c r="A182" s="38">
        <v>109.05190399999999</v>
      </c>
      <c r="B182" s="38">
        <v>1.0025500000000001</v>
      </c>
      <c r="E182" s="2">
        <f t="shared" si="5"/>
        <v>1.0038097693246149</v>
      </c>
      <c r="F182">
        <f t="shared" si="4"/>
        <v>-1.2597693246148012E-3</v>
      </c>
      <c r="H182" s="1"/>
    </row>
    <row r="183" spans="1:8" x14ac:dyDescent="0.25">
      <c r="A183" s="38">
        <v>117.440512</v>
      </c>
      <c r="B183" s="38">
        <v>1.0027900000000001</v>
      </c>
      <c r="E183" s="2">
        <f t="shared" si="5"/>
        <v>1.0037693263330227</v>
      </c>
      <c r="F183">
        <f t="shared" si="4"/>
        <v>-9.7932633302266758E-4</v>
      </c>
      <c r="H183" s="1"/>
    </row>
    <row r="184" spans="1:8" x14ac:dyDescent="0.25">
      <c r="A184" s="38">
        <v>125.82912</v>
      </c>
      <c r="B184" s="38">
        <v>1.0027600000000001</v>
      </c>
      <c r="E184" s="2">
        <f t="shared" si="5"/>
        <v>1.0037351994569177</v>
      </c>
      <c r="F184">
        <f t="shared" si="4"/>
        <v>-9.7519945691759702E-4</v>
      </c>
      <c r="H184" s="1"/>
    </row>
    <row r="185" spans="1:8" x14ac:dyDescent="0.25">
      <c r="A185" s="38">
        <v>134.21772799999999</v>
      </c>
      <c r="B185" s="38">
        <v>1.00203</v>
      </c>
      <c r="E185" s="2">
        <f t="shared" si="5"/>
        <v>1.0037060866542038</v>
      </c>
      <c r="F185">
        <f t="shared" si="4"/>
        <v>-1.6760866542038233E-3</v>
      </c>
      <c r="H185" s="1"/>
    </row>
    <row r="186" spans="1:8" x14ac:dyDescent="0.25">
      <c r="A186" s="38">
        <v>150.994944</v>
      </c>
      <c r="B186" s="38">
        <v>1.0020199999999999</v>
      </c>
      <c r="E186" s="2">
        <f t="shared" si="5"/>
        <v>1.0036592321832261</v>
      </c>
      <c r="F186">
        <f t="shared" si="4"/>
        <v>-1.6392321832261469E-3</v>
      </c>
      <c r="H186" s="1"/>
    </row>
    <row r="187" spans="1:8" x14ac:dyDescent="0.25">
      <c r="A187" s="38">
        <v>167.77216000000001</v>
      </c>
      <c r="B187" s="38">
        <v>1.0015000000000001</v>
      </c>
      <c r="E187" s="2">
        <f t="shared" si="5"/>
        <v>1.0036233728236217</v>
      </c>
      <c r="F187">
        <f t="shared" si="4"/>
        <v>-2.1233728236216276E-3</v>
      </c>
      <c r="H187" s="1"/>
    </row>
    <row r="188" spans="1:8" x14ac:dyDescent="0.25">
      <c r="A188" s="38">
        <v>184.549376</v>
      </c>
      <c r="B188" s="38">
        <v>1.00288</v>
      </c>
      <c r="E188" s="2">
        <f t="shared" si="5"/>
        <v>1.0035952038074918</v>
      </c>
      <c r="F188">
        <f t="shared" si="4"/>
        <v>-7.1520380749179324E-4</v>
      </c>
      <c r="H188" s="1"/>
    </row>
    <row r="189" spans="1:8" x14ac:dyDescent="0.25">
      <c r="A189" s="38">
        <v>201.32659200000001</v>
      </c>
      <c r="B189" s="38">
        <v>1.0021599999999999</v>
      </c>
      <c r="E189" s="2">
        <f t="shared" si="5"/>
        <v>1.0035725971923952</v>
      </c>
      <c r="F189">
        <f t="shared" si="4"/>
        <v>-1.4125971923952818E-3</v>
      </c>
      <c r="H189" s="1"/>
    </row>
    <row r="190" spans="1:8" x14ac:dyDescent="0.25">
      <c r="A190" s="38">
        <v>218.10380799999999</v>
      </c>
      <c r="B190" s="38">
        <v>1.0022599999999999</v>
      </c>
      <c r="E190" s="2">
        <f t="shared" si="5"/>
        <v>1.003554126989983</v>
      </c>
      <c r="F190">
        <f t="shared" si="4"/>
        <v>-1.294126989983102E-3</v>
      </c>
      <c r="H190" s="1"/>
    </row>
    <row r="191" spans="1:8" x14ac:dyDescent="0.25">
      <c r="A191" s="38">
        <v>234.881024</v>
      </c>
      <c r="B191" s="38">
        <v>1.0015400000000001</v>
      </c>
      <c r="E191" s="2">
        <f t="shared" si="5"/>
        <v>1.0035388053629168</v>
      </c>
      <c r="F191">
        <f t="shared" si="4"/>
        <v>-1.9988053629167446E-3</v>
      </c>
      <c r="H191" s="1"/>
    </row>
    <row r="192" spans="1:8" x14ac:dyDescent="0.25">
      <c r="A192" s="38">
        <v>251.65824000000001</v>
      </c>
      <c r="B192" s="38">
        <v>1.0016700000000001</v>
      </c>
      <c r="E192" s="2">
        <f t="shared" si="5"/>
        <v>1.003525928535473</v>
      </c>
      <c r="F192">
        <f t="shared" si="4"/>
        <v>-1.8559285354728949E-3</v>
      </c>
      <c r="H192" s="1"/>
    </row>
    <row r="193" spans="1:8" x14ac:dyDescent="0.25">
      <c r="A193" s="38">
        <v>268.43545599999999</v>
      </c>
      <c r="B193" s="38">
        <v>1.0019400000000001</v>
      </c>
      <c r="E193" s="2">
        <f t="shared" si="5"/>
        <v>1.0035149829190777</v>
      </c>
      <c r="F193">
        <f t="shared" si="4"/>
        <v>-1.5749829190776499E-3</v>
      </c>
      <c r="H193" s="1"/>
    </row>
    <row r="194" spans="1:8" x14ac:dyDescent="0.25">
      <c r="A194" s="38">
        <v>301.98988800000001</v>
      </c>
      <c r="B194" s="38">
        <v>1.0010399999999999</v>
      </c>
      <c r="E194" s="2">
        <f t="shared" si="5"/>
        <v>1.003497446901747</v>
      </c>
      <c r="F194">
        <f t="shared" ref="F194:F238" si="6">B194-E194</f>
        <v>-2.4574469017470957E-3</v>
      </c>
      <c r="H194" s="1"/>
    </row>
    <row r="195" spans="1:8" x14ac:dyDescent="0.25">
      <c r="A195" s="38">
        <v>335.54432000000003</v>
      </c>
      <c r="B195" s="38">
        <v>1.00129</v>
      </c>
      <c r="E195" s="2">
        <f t="shared" ref="E195:E238" si="7">$D$2+1/$D$3*($D$8/(1+A195/$D$4)/SQRT(1+A195/$D$4/$D$5/$D$5)+(1-$D$8)/(1+A195/$D$6)/SQRT(1+A195/$D$6/$D$7/$D$7))*(1+$D$9*EXP(-A195/$D$10)+$D$11*EXP(-A195/$D$12))</f>
        <v>1.0034840966207677</v>
      </c>
      <c r="F195">
        <f t="shared" si="6"/>
        <v>-2.1940966207676382E-3</v>
      </c>
      <c r="H195" s="1"/>
    </row>
    <row r="196" spans="1:8" x14ac:dyDescent="0.25">
      <c r="A196" s="38">
        <v>369.09875199999999</v>
      </c>
      <c r="B196" s="38">
        <v>1.00163</v>
      </c>
      <c r="E196" s="2">
        <f t="shared" si="7"/>
        <v>1.003473655247852</v>
      </c>
      <c r="F196">
        <f t="shared" si="6"/>
        <v>-1.8436552478520163E-3</v>
      </c>
      <c r="H196" s="1"/>
    </row>
    <row r="197" spans="1:8" x14ac:dyDescent="0.25">
      <c r="A197" s="38">
        <v>402.65318400000001</v>
      </c>
      <c r="B197" s="38">
        <v>1.00193</v>
      </c>
      <c r="E197" s="2">
        <f t="shared" si="7"/>
        <v>1.0034653065723684</v>
      </c>
      <c r="F197">
        <f t="shared" si="6"/>
        <v>-1.5353065723684445E-3</v>
      </c>
      <c r="H197" s="1"/>
    </row>
    <row r="198" spans="1:8" x14ac:dyDescent="0.25">
      <c r="A198" s="38">
        <v>436.20761599999997</v>
      </c>
      <c r="B198" s="38">
        <v>1.00159</v>
      </c>
      <c r="E198" s="2">
        <f t="shared" si="7"/>
        <v>1.0034585069821642</v>
      </c>
      <c r="F198">
        <f t="shared" si="6"/>
        <v>-1.8685069821642308E-3</v>
      </c>
      <c r="H198" s="1"/>
    </row>
    <row r="199" spans="1:8" x14ac:dyDescent="0.25">
      <c r="A199" s="38">
        <v>469.76204799999999</v>
      </c>
      <c r="B199" s="38">
        <v>1.0013399999999999</v>
      </c>
      <c r="E199" s="2">
        <f t="shared" si="7"/>
        <v>1.0034528818782853</v>
      </c>
      <c r="F199">
        <f t="shared" si="6"/>
        <v>-2.1128818782853998E-3</v>
      </c>
      <c r="H199" s="1"/>
    </row>
    <row r="200" spans="1:8" x14ac:dyDescent="0.25">
      <c r="A200" s="38">
        <v>503.31648000000001</v>
      </c>
      <c r="B200" s="38">
        <v>1.0012300000000001</v>
      </c>
      <c r="E200" s="2">
        <f t="shared" si="7"/>
        <v>1.0034481656012675</v>
      </c>
      <c r="F200">
        <f t="shared" si="6"/>
        <v>-2.2181656012674189E-3</v>
      </c>
      <c r="H200" s="1"/>
    </row>
    <row r="201" spans="1:8" x14ac:dyDescent="0.25">
      <c r="A201" s="38">
        <v>536.87091199999998</v>
      </c>
      <c r="B201" s="38">
        <v>1.0015099999999999</v>
      </c>
      <c r="E201" s="2">
        <f t="shared" si="7"/>
        <v>1.0034441650601775</v>
      </c>
      <c r="F201">
        <f t="shared" si="6"/>
        <v>-1.9341650601776283E-3</v>
      </c>
      <c r="H201" s="1"/>
    </row>
    <row r="202" spans="1:8" x14ac:dyDescent="0.25">
      <c r="A202" s="38">
        <v>603.97977600000002</v>
      </c>
      <c r="B202" s="38">
        <v>1.00109</v>
      </c>
      <c r="E202" s="2">
        <f t="shared" si="7"/>
        <v>1.003437772652124</v>
      </c>
      <c r="F202">
        <f t="shared" si="6"/>
        <v>-2.3477726521239362E-3</v>
      </c>
      <c r="H202" s="1"/>
    </row>
    <row r="203" spans="1:8" x14ac:dyDescent="0.25">
      <c r="A203" s="38">
        <v>671.08864000000005</v>
      </c>
      <c r="B203" s="38">
        <v>1.00119</v>
      </c>
      <c r="E203" s="2">
        <f t="shared" si="7"/>
        <v>1.0034329207610362</v>
      </c>
      <c r="F203">
        <f t="shared" si="6"/>
        <v>-2.2429207610361601E-3</v>
      </c>
      <c r="H203" s="1"/>
    </row>
    <row r="204" spans="1:8" x14ac:dyDescent="0.25">
      <c r="A204" s="38">
        <v>738.19750399999998</v>
      </c>
      <c r="B204" s="38">
        <v>1.0009699999999999</v>
      </c>
      <c r="E204" s="2">
        <f t="shared" si="7"/>
        <v>1.0034291354440836</v>
      </c>
      <c r="F204">
        <f t="shared" si="6"/>
        <v>-2.4591354440837154E-3</v>
      </c>
      <c r="H204" s="1"/>
    </row>
    <row r="205" spans="1:8" x14ac:dyDescent="0.25">
      <c r="A205" s="38">
        <v>805.30636800000002</v>
      </c>
      <c r="B205" s="38">
        <v>1.00031</v>
      </c>
      <c r="E205" s="2">
        <f t="shared" si="7"/>
        <v>1.0034261150460786</v>
      </c>
      <c r="F205">
        <f t="shared" si="6"/>
        <v>-3.1161150460785603E-3</v>
      </c>
      <c r="H205" s="1"/>
    </row>
    <row r="206" spans="1:8" x14ac:dyDescent="0.25">
      <c r="A206" s="38">
        <v>872.41523199999995</v>
      </c>
      <c r="B206" s="38">
        <v>0.99975499999999995</v>
      </c>
      <c r="E206" s="2">
        <f t="shared" si="7"/>
        <v>1.0034236593852586</v>
      </c>
      <c r="F206">
        <f t="shared" si="6"/>
        <v>-3.6686593852586213E-3</v>
      </c>
      <c r="H206" s="1"/>
    </row>
    <row r="207" spans="1:8" x14ac:dyDescent="0.25">
      <c r="A207" s="38">
        <v>939.52409599999999</v>
      </c>
      <c r="B207" s="38">
        <v>1.0004999999999999</v>
      </c>
      <c r="E207" s="2">
        <f t="shared" si="7"/>
        <v>1.0034216309408253</v>
      </c>
      <c r="F207">
        <f t="shared" si="6"/>
        <v>-2.9216309408253149E-3</v>
      </c>
      <c r="H207" s="1"/>
    </row>
    <row r="208" spans="1:8" x14ac:dyDescent="0.25">
      <c r="A208" s="38">
        <v>1006.63296</v>
      </c>
      <c r="B208" s="38">
        <v>1.0004200000000001</v>
      </c>
      <c r="E208" s="2">
        <f t="shared" si="7"/>
        <v>1.0034199324420927</v>
      </c>
      <c r="F208">
        <f t="shared" si="6"/>
        <v>-2.9999324420926232E-3</v>
      </c>
      <c r="H208" s="1"/>
    </row>
    <row r="209" spans="1:8" x14ac:dyDescent="0.25">
      <c r="A209" s="38">
        <v>1073.741824</v>
      </c>
      <c r="B209" s="38">
        <v>1.0001800000000001</v>
      </c>
      <c r="E209" s="2">
        <f t="shared" si="7"/>
        <v>1.0034184933508721</v>
      </c>
      <c r="F209">
        <f t="shared" si="6"/>
        <v>-3.2384933508720071E-3</v>
      </c>
      <c r="H209" s="1"/>
    </row>
    <row r="210" spans="1:8" x14ac:dyDescent="0.25">
      <c r="A210" s="38">
        <v>1207.959552</v>
      </c>
      <c r="B210" s="38">
        <v>1.00095</v>
      </c>
      <c r="E210" s="2">
        <f t="shared" si="7"/>
        <v>1.0034161971233109</v>
      </c>
      <c r="F210">
        <f t="shared" si="6"/>
        <v>-2.4661971233108648E-3</v>
      </c>
      <c r="H210" s="1"/>
    </row>
    <row r="211" spans="1:8" x14ac:dyDescent="0.25">
      <c r="A211" s="38">
        <v>1342.1772800000001</v>
      </c>
      <c r="B211" s="38">
        <v>1.00085</v>
      </c>
      <c r="E211" s="2">
        <f t="shared" si="7"/>
        <v>1.00341445709595</v>
      </c>
      <c r="F211">
        <f t="shared" si="6"/>
        <v>-2.5644570959499902E-3</v>
      </c>
      <c r="H211" s="1"/>
    </row>
    <row r="212" spans="1:8" x14ac:dyDescent="0.25">
      <c r="A212" s="38">
        <v>1476.395008</v>
      </c>
      <c r="B212" s="38">
        <v>1.00057</v>
      </c>
      <c r="E212" s="2">
        <f t="shared" si="7"/>
        <v>1.0034131013661098</v>
      </c>
      <c r="F212">
        <f t="shared" si="6"/>
        <v>-2.8431013661098792E-3</v>
      </c>
      <c r="H212" s="1"/>
    </row>
    <row r="213" spans="1:8" x14ac:dyDescent="0.25">
      <c r="A213" s="38">
        <v>1610.612736</v>
      </c>
      <c r="B213" s="38">
        <v>1.0004</v>
      </c>
      <c r="E213" s="2">
        <f t="shared" si="7"/>
        <v>1.0034120207818764</v>
      </c>
      <c r="F213">
        <f t="shared" si="6"/>
        <v>-3.0120207818764566E-3</v>
      </c>
      <c r="H213" s="1"/>
    </row>
    <row r="214" spans="1:8" x14ac:dyDescent="0.25">
      <c r="A214" s="38">
        <v>1744.8304639999999</v>
      </c>
      <c r="B214" s="38">
        <v>1.00065</v>
      </c>
      <c r="E214" s="2">
        <f t="shared" si="7"/>
        <v>1.0034111430516799</v>
      </c>
      <c r="F214">
        <f t="shared" si="6"/>
        <v>-2.7611430516798485E-3</v>
      </c>
      <c r="H214" s="1"/>
    </row>
    <row r="215" spans="1:8" x14ac:dyDescent="0.25">
      <c r="A215" s="38">
        <v>1879.048192</v>
      </c>
      <c r="B215" s="38">
        <v>1.00027</v>
      </c>
      <c r="E215" s="2">
        <f t="shared" si="7"/>
        <v>1.003410418595134</v>
      </c>
      <c r="F215">
        <f t="shared" si="6"/>
        <v>-3.1404185951340313E-3</v>
      </c>
      <c r="H215" s="1"/>
    </row>
    <row r="216" spans="1:8" x14ac:dyDescent="0.25">
      <c r="A216" s="38">
        <v>2013.2659200000001</v>
      </c>
      <c r="B216" s="38">
        <v>1.0005299999999999</v>
      </c>
      <c r="E216" s="2">
        <f t="shared" si="7"/>
        <v>1.003409812392932</v>
      </c>
      <c r="F216">
        <f t="shared" si="6"/>
        <v>-2.8798123929321129E-3</v>
      </c>
      <c r="H216" s="1"/>
    </row>
    <row r="217" spans="1:8" x14ac:dyDescent="0.25">
      <c r="A217" s="38">
        <v>2147.4836479999999</v>
      </c>
      <c r="B217" s="38">
        <v>1.00034</v>
      </c>
      <c r="E217" s="2">
        <f t="shared" si="7"/>
        <v>1.0034092990810697</v>
      </c>
      <c r="F217">
        <f t="shared" si="6"/>
        <v>-3.0692990810696763E-3</v>
      </c>
      <c r="H217" s="1"/>
    </row>
    <row r="218" spans="1:8" x14ac:dyDescent="0.25">
      <c r="A218" s="38">
        <v>2415.9191040000001</v>
      </c>
      <c r="B218" s="38">
        <v>1.00061</v>
      </c>
      <c r="E218" s="2">
        <f t="shared" si="7"/>
        <v>1.0034084806435137</v>
      </c>
      <c r="F218">
        <f t="shared" si="6"/>
        <v>-2.7984806435137344E-3</v>
      </c>
      <c r="H218" s="1"/>
    </row>
    <row r="219" spans="1:8" x14ac:dyDescent="0.25">
      <c r="A219" s="38">
        <v>2684.3545600000002</v>
      </c>
      <c r="B219" s="38">
        <v>1.0003899999999999</v>
      </c>
      <c r="E219" s="2">
        <f t="shared" si="7"/>
        <v>1.0034078609731933</v>
      </c>
      <c r="F219">
        <f t="shared" si="6"/>
        <v>-3.0178609731934536E-3</v>
      </c>
      <c r="H219" s="1"/>
    </row>
    <row r="220" spans="1:8" x14ac:dyDescent="0.25">
      <c r="A220" s="38">
        <v>2952.7900159999999</v>
      </c>
      <c r="B220" s="38">
        <v>1.00061</v>
      </c>
      <c r="E220" s="2">
        <f t="shared" si="7"/>
        <v>1.0034073784913553</v>
      </c>
      <c r="F220">
        <f t="shared" si="6"/>
        <v>-2.7973784913553068E-3</v>
      </c>
      <c r="H220" s="1"/>
    </row>
    <row r="221" spans="1:8" x14ac:dyDescent="0.25">
      <c r="A221" s="38">
        <v>3221.2254720000001</v>
      </c>
      <c r="B221" s="38">
        <v>1.00038</v>
      </c>
      <c r="E221" s="2">
        <f t="shared" si="7"/>
        <v>1.0034069941466786</v>
      </c>
      <c r="F221">
        <f t="shared" si="6"/>
        <v>-3.0269941466785077E-3</v>
      </c>
      <c r="H221" s="1"/>
    </row>
    <row r="222" spans="1:8" x14ac:dyDescent="0.25">
      <c r="A222" s="38">
        <v>3489.6609279999998</v>
      </c>
      <c r="B222" s="38">
        <v>1.00085</v>
      </c>
      <c r="E222" s="2">
        <f t="shared" si="7"/>
        <v>1.00340668210205</v>
      </c>
      <c r="F222">
        <f t="shared" si="6"/>
        <v>-2.5566821020499564E-3</v>
      </c>
      <c r="H222" s="1"/>
    </row>
    <row r="223" spans="1:8" x14ac:dyDescent="0.25">
      <c r="A223" s="38">
        <v>3758.0963839999999</v>
      </c>
      <c r="B223" s="38">
        <v>1.0010600000000001</v>
      </c>
      <c r="E223" s="2">
        <f t="shared" si="7"/>
        <v>1.0034064246526886</v>
      </c>
      <c r="F223">
        <f t="shared" si="6"/>
        <v>-2.346424652688528E-3</v>
      </c>
      <c r="H223" s="1"/>
    </row>
    <row r="224" spans="1:8" x14ac:dyDescent="0.25">
      <c r="A224" s="38">
        <v>4026.5318400000001</v>
      </c>
      <c r="B224" s="38">
        <v>1.00109</v>
      </c>
      <c r="E224" s="2">
        <f t="shared" si="7"/>
        <v>1.0034062093026659</v>
      </c>
      <c r="F224">
        <f t="shared" si="6"/>
        <v>-2.3162093026658503E-3</v>
      </c>
      <c r="H224" s="1"/>
    </row>
    <row r="225" spans="1:8" x14ac:dyDescent="0.25">
      <c r="A225" s="38">
        <v>4294.9672959999998</v>
      </c>
      <c r="B225" s="38">
        <v>1.0011099999999999</v>
      </c>
      <c r="E225" s="2">
        <f t="shared" si="7"/>
        <v>1.0034060270070895</v>
      </c>
      <c r="F225">
        <f t="shared" si="6"/>
        <v>-2.2960270070895294E-3</v>
      </c>
      <c r="H225" s="1"/>
    </row>
    <row r="226" spans="1:8" x14ac:dyDescent="0.25">
      <c r="A226" s="38">
        <v>4831.8382080000001</v>
      </c>
      <c r="B226" s="38">
        <v>1.0010399999999999</v>
      </c>
      <c r="E226" s="2">
        <f t="shared" si="7"/>
        <v>1.0034057364604494</v>
      </c>
      <c r="F226">
        <f t="shared" si="6"/>
        <v>-2.3657364604494635E-3</v>
      </c>
      <c r="H226" s="1"/>
    </row>
    <row r="227" spans="1:8" x14ac:dyDescent="0.25">
      <c r="A227" s="38">
        <v>5368.7091200000004</v>
      </c>
      <c r="B227" s="38">
        <v>1.0007600000000001</v>
      </c>
      <c r="E227" s="2">
        <f t="shared" si="7"/>
        <v>1.0034055165709308</v>
      </c>
      <c r="F227">
        <f t="shared" si="6"/>
        <v>-2.645516570930706E-3</v>
      </c>
      <c r="H227" s="1"/>
    </row>
    <row r="228" spans="1:8" x14ac:dyDescent="0.25">
      <c r="A228" s="38">
        <v>5905.5800319999998</v>
      </c>
      <c r="B228" s="38">
        <v>1.00071</v>
      </c>
      <c r="E228" s="2">
        <f t="shared" si="7"/>
        <v>1.0034053454221257</v>
      </c>
      <c r="F228">
        <f t="shared" si="6"/>
        <v>-2.6953454221256834E-3</v>
      </c>
      <c r="H228" s="1"/>
    </row>
    <row r="229" spans="1:8" x14ac:dyDescent="0.25">
      <c r="A229" s="38">
        <v>6442.4509440000002</v>
      </c>
      <c r="B229" s="38">
        <v>1.0009600000000001</v>
      </c>
      <c r="E229" s="2">
        <f t="shared" si="7"/>
        <v>1.0034052091242509</v>
      </c>
      <c r="F229">
        <f t="shared" si="6"/>
        <v>-2.4452091242508356E-3</v>
      </c>
      <c r="H229" s="1"/>
    </row>
    <row r="230" spans="1:8" x14ac:dyDescent="0.25">
      <c r="A230" s="38">
        <v>6979.3218559999996</v>
      </c>
      <c r="B230" s="38">
        <v>1.00129</v>
      </c>
      <c r="E230" s="2">
        <f t="shared" si="7"/>
        <v>1.003405098492401</v>
      </c>
      <c r="F230">
        <f t="shared" si="6"/>
        <v>-2.1150984924009908E-3</v>
      </c>
      <c r="H230" s="1"/>
    </row>
    <row r="231" spans="1:8" x14ac:dyDescent="0.25">
      <c r="A231" s="38">
        <v>7516.1927679999999</v>
      </c>
      <c r="B231" s="38">
        <v>1.0019800000000001</v>
      </c>
      <c r="E231" s="2">
        <f t="shared" si="7"/>
        <v>1.0034050072354335</v>
      </c>
      <c r="F231">
        <f t="shared" si="6"/>
        <v>-1.4250072354333732E-3</v>
      </c>
      <c r="H231" s="1"/>
    </row>
    <row r="232" spans="1:8" x14ac:dyDescent="0.25">
      <c r="A232" s="38">
        <v>8053.0636800000002</v>
      </c>
      <c r="B232" s="38">
        <v>1.0013000000000001</v>
      </c>
      <c r="E232" s="2">
        <f t="shared" si="7"/>
        <v>1.0034049309147628</v>
      </c>
      <c r="F232">
        <f t="shared" si="6"/>
        <v>-2.1049309147627149E-3</v>
      </c>
      <c r="H232" s="1"/>
    </row>
    <row r="233" spans="1:8" x14ac:dyDescent="0.25">
      <c r="A233" s="38">
        <v>8589.9345919999996</v>
      </c>
      <c r="B233" s="38">
        <v>1.0003599999999999</v>
      </c>
      <c r="E233" s="2">
        <f t="shared" si="7"/>
        <v>1.0034048663186559</v>
      </c>
      <c r="F233">
        <f t="shared" si="6"/>
        <v>-3.0448663186559699E-3</v>
      </c>
      <c r="H233" s="1"/>
    </row>
    <row r="234" spans="1:8" x14ac:dyDescent="0.25">
      <c r="A234" s="38">
        <v>9663.6764160000002</v>
      </c>
      <c r="B234" s="38">
        <v>1.0006900000000001</v>
      </c>
      <c r="E234" s="2">
        <f t="shared" si="7"/>
        <v>1.0034047633836831</v>
      </c>
      <c r="F234">
        <f t="shared" si="6"/>
        <v>-2.7147633836830387E-3</v>
      </c>
      <c r="H234" s="1"/>
    </row>
    <row r="235" spans="1:8" x14ac:dyDescent="0.25">
      <c r="A235" s="38">
        <v>10737.418240000001</v>
      </c>
      <c r="B235" s="38">
        <v>1.0012799999999999</v>
      </c>
      <c r="E235" s="2">
        <f t="shared" si="7"/>
        <v>1.0034046854980236</v>
      </c>
      <c r="F235">
        <f t="shared" si="6"/>
        <v>-2.1246854980236929E-3</v>
      </c>
      <c r="H235" s="1"/>
    </row>
    <row r="236" spans="1:8" x14ac:dyDescent="0.25">
      <c r="A236" s="38">
        <v>11811.160064</v>
      </c>
      <c r="B236" s="38">
        <v>1.0009699999999999</v>
      </c>
      <c r="E236" s="2">
        <f t="shared" si="7"/>
        <v>1.0034046248871236</v>
      </c>
      <c r="F236">
        <f t="shared" si="6"/>
        <v>-2.4346248871236487E-3</v>
      </c>
      <c r="H236" s="1"/>
    </row>
    <row r="237" spans="1:8" x14ac:dyDescent="0.25">
      <c r="A237" s="38">
        <v>12884.901888</v>
      </c>
      <c r="B237" s="38">
        <v>1.00098</v>
      </c>
      <c r="E237" s="2">
        <f t="shared" si="7"/>
        <v>1.0034045766253676</v>
      </c>
      <c r="F237">
        <f t="shared" si="6"/>
        <v>-2.4245766253676582E-3</v>
      </c>
      <c r="H237" s="1"/>
    </row>
    <row r="238" spans="1:8" x14ac:dyDescent="0.25">
      <c r="A238" s="38">
        <v>13958.643711999999</v>
      </c>
      <c r="B238" s="38">
        <v>1.0009300000000001</v>
      </c>
      <c r="E238" s="2">
        <f t="shared" si="7"/>
        <v>1.0034045374564597</v>
      </c>
      <c r="F238">
        <f t="shared" si="6"/>
        <v>-2.4745374564596467E-3</v>
      </c>
      <c r="H238" s="1"/>
    </row>
    <row r="239" spans="1:8" x14ac:dyDescent="0.25">
      <c r="A239" s="38">
        <v>15032.385536</v>
      </c>
      <c r="B239" s="38">
        <v>1.0000500000000001</v>
      </c>
      <c r="H239" s="1"/>
    </row>
    <row r="240" spans="1:8" x14ac:dyDescent="0.25">
      <c r="A240" s="38">
        <v>16106.12736</v>
      </c>
      <c r="B240" s="38">
        <v>0.99951699999999999</v>
      </c>
      <c r="H240" s="1"/>
    </row>
    <row r="241" spans="1:8" x14ac:dyDescent="0.25">
      <c r="A241" s="38">
        <v>17179.869183999999</v>
      </c>
      <c r="B241" s="38">
        <v>0.99849500000000002</v>
      </c>
      <c r="H241" s="1"/>
    </row>
    <row r="242" spans="1:8" x14ac:dyDescent="0.25">
      <c r="A242" s="38">
        <v>19327.352832</v>
      </c>
      <c r="B242" s="38">
        <v>0.99945399999999995</v>
      </c>
      <c r="H242" s="1"/>
    </row>
    <row r="243" spans="1:8" x14ac:dyDescent="0.25">
      <c r="A243" s="38">
        <v>21474.836480000002</v>
      </c>
      <c r="B243" s="38">
        <v>1.0009699999999999</v>
      </c>
      <c r="H243" s="1"/>
    </row>
    <row r="244" spans="1:8" x14ac:dyDescent="0.25">
      <c r="A244" s="38">
        <v>23622.320127999999</v>
      </c>
      <c r="B244" s="38">
        <v>0.99965499999999996</v>
      </c>
      <c r="H244" s="1"/>
    </row>
    <row r="245" spans="1:8" x14ac:dyDescent="0.25">
      <c r="A245" s="38">
        <v>25769.803776000001</v>
      </c>
      <c r="B245" s="38">
        <v>0.99768100000000004</v>
      </c>
      <c r="H245" s="1"/>
    </row>
    <row r="246" spans="1:8" x14ac:dyDescent="0.25">
      <c r="A246" s="38">
        <v>27917.287423999998</v>
      </c>
      <c r="B246" s="38">
        <v>0.996286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>
      <selection activeCell="B44" sqref="B44"/>
    </sheetView>
  </sheetViews>
  <sheetFormatPr defaultColWidth="9" defaultRowHeight="15" x14ac:dyDescent="0.25"/>
  <cols>
    <col min="1" max="1" width="14.28515625" bestFit="1" customWidth="1"/>
    <col min="2" max="2" width="11.140625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bestFit="1" customWidth="1"/>
  </cols>
  <sheetData>
    <row r="1" spans="1:12" x14ac:dyDescent="0.25">
      <c r="A1" t="s">
        <v>6</v>
      </c>
      <c r="B1" t="s">
        <v>9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42">
        <v>3.9999999999999998E-6</v>
      </c>
      <c r="B2" s="42">
        <v>1.2460800000000001</v>
      </c>
      <c r="C2" s="11" t="s">
        <v>1</v>
      </c>
      <c r="D2" s="12">
        <v>1.0026800775247693</v>
      </c>
      <c r="E2" s="2">
        <f>$D$2+1/$D$3*($D$8/(1+A2/$D$4)/SQRT(1+A2/$D$4/$D$5/$D$5)+(1-$D$8)/(1+A2/$D$6)/SQRT(1+A2/$D$6/$D$7/$D$7))*(1+$D$9*EXP(-A2/$D$10)+$D$11*EXP(-A2/$D$12))</f>
        <v>1.3005184659367934</v>
      </c>
      <c r="F2">
        <f t="shared" ref="F2:F65" si="0">B2-E2</f>
        <v>-5.4438465936793357E-2</v>
      </c>
      <c r="G2">
        <f>SUMSQ(F$4:F$190)</f>
        <v>1.6602411642745781E-3</v>
      </c>
      <c r="H2" s="1"/>
      <c r="I2" s="13" t="s">
        <v>19</v>
      </c>
      <c r="J2" s="16">
        <v>110.4</v>
      </c>
      <c r="L2" s="14">
        <f>(J2+J3)/D3</f>
        <v>55.687923805752661</v>
      </c>
    </row>
    <row r="3" spans="1:12" x14ac:dyDescent="0.25">
      <c r="A3" s="42">
        <v>7.9999999999999996E-6</v>
      </c>
      <c r="B3" s="42">
        <v>1.3047800000000001</v>
      </c>
      <c r="C3" s="11" t="s">
        <v>2</v>
      </c>
      <c r="D3" s="12">
        <v>4.2217411591795377</v>
      </c>
      <c r="E3" s="2">
        <f t="shared" ref="E3:E66" si="1">$D$2+1/$D$3*($D$8/(1+A3/$D$4)/SQRT(1+A3/$D$4/$D$5/$D$5)+(1-$D$8)/(1+A3/$D$6)/SQRT(1+A3/$D$6/$D$7/$D$7))*(1+$D$9*EXP(-A3/$D$10)+$D$11*EXP(-A3/$D$12))</f>
        <v>1.3002406522474224</v>
      </c>
      <c r="F3">
        <f t="shared" si="0"/>
        <v>4.5393477525776937E-3</v>
      </c>
      <c r="H3" s="1"/>
      <c r="I3" s="13" t="s">
        <v>20</v>
      </c>
      <c r="J3" s="16">
        <v>124.7</v>
      </c>
    </row>
    <row r="4" spans="1:12" x14ac:dyDescent="0.25">
      <c r="A4" s="42">
        <v>1.2E-5</v>
      </c>
      <c r="B4" s="42">
        <v>1.30948</v>
      </c>
      <c r="C4" s="11" t="s">
        <v>26</v>
      </c>
      <c r="D4" s="12">
        <v>1.4245578941557013</v>
      </c>
      <c r="E4" s="2">
        <f t="shared" si="1"/>
        <v>1.299965554306016</v>
      </c>
      <c r="F4">
        <f t="shared" si="0"/>
        <v>9.5144456939839639E-3</v>
      </c>
      <c r="H4" s="1"/>
      <c r="I4" s="4"/>
      <c r="L4" s="10"/>
    </row>
    <row r="5" spans="1:12" x14ac:dyDescent="0.25">
      <c r="A5" s="42">
        <v>1.5999999999999999E-5</v>
      </c>
      <c r="B5" s="42">
        <v>1.3106199999999999</v>
      </c>
      <c r="C5" s="11" t="s">
        <v>22</v>
      </c>
      <c r="D5" s="12">
        <f>('1_Rh110 in buffer'!D5+'2_Rh110 in buffer'!D5)/2</f>
        <v>5.9953640241376469</v>
      </c>
      <c r="E5" s="2">
        <f t="shared" si="1"/>
        <v>1.2996931452831646</v>
      </c>
      <c r="F5">
        <f t="shared" si="0"/>
        <v>1.0926854716835299E-2</v>
      </c>
      <c r="H5" s="1"/>
      <c r="I5" s="4"/>
    </row>
    <row r="6" spans="1:12" x14ac:dyDescent="0.25">
      <c r="A6" s="42">
        <v>2.0000000000000002E-5</v>
      </c>
      <c r="B6" s="42">
        <v>1.3066199999999999</v>
      </c>
      <c r="C6" s="11" t="s">
        <v>25</v>
      </c>
      <c r="D6" s="12">
        <v>1.38</v>
      </c>
      <c r="E6" s="2">
        <f t="shared" si="1"/>
        <v>1.2994233986145272</v>
      </c>
      <c r="F6">
        <f t="shared" si="0"/>
        <v>7.196601385472734E-3</v>
      </c>
      <c r="H6" s="1"/>
      <c r="I6" s="4"/>
    </row>
    <row r="7" spans="1:12" x14ac:dyDescent="0.25">
      <c r="A7" s="42">
        <v>2.4000000000000001E-5</v>
      </c>
      <c r="B7" s="42">
        <v>1.3007599999999999</v>
      </c>
      <c r="C7" s="11" t="s">
        <v>22</v>
      </c>
      <c r="D7" s="12">
        <f>('1_Rh110 in buffer'!D5+'2_Rh110 in buffer'!D5)/2</f>
        <v>5.9953640241376469</v>
      </c>
      <c r="E7" s="2">
        <f t="shared" si="1"/>
        <v>1.2991562879982119</v>
      </c>
      <c r="F7">
        <f t="shared" si="0"/>
        <v>1.6037120017879936E-3</v>
      </c>
      <c r="H7" s="1"/>
      <c r="I7" s="4"/>
    </row>
    <row r="8" spans="1:12" x14ac:dyDescent="0.25">
      <c r="A8" s="42">
        <v>2.8E-5</v>
      </c>
      <c r="B8" s="42">
        <v>1.30145</v>
      </c>
      <c r="C8" s="11" t="s">
        <v>13</v>
      </c>
      <c r="D8" s="12">
        <v>1</v>
      </c>
      <c r="E8" s="2">
        <f t="shared" si="1"/>
        <v>1.2988917873921846</v>
      </c>
      <c r="F8">
        <f t="shared" si="0"/>
        <v>2.5582126078154133E-3</v>
      </c>
      <c r="H8" s="1"/>
      <c r="I8" s="4"/>
    </row>
    <row r="9" spans="1:12" x14ac:dyDescent="0.25">
      <c r="A9" s="42">
        <v>3.1999999999999999E-5</v>
      </c>
      <c r="B9" s="42">
        <v>1.29396</v>
      </c>
      <c r="C9" s="11" t="s">
        <v>14</v>
      </c>
      <c r="D9" s="12">
        <v>0.13995680253813669</v>
      </c>
      <c r="E9" s="2">
        <f t="shared" si="1"/>
        <v>1.2986298710116992</v>
      </c>
      <c r="F9">
        <f t="shared" si="0"/>
        <v>-4.6698710116992448E-3</v>
      </c>
      <c r="H9" s="1"/>
      <c r="I9" s="4"/>
    </row>
    <row r="10" spans="1:12" x14ac:dyDescent="0.25">
      <c r="A10" s="42">
        <v>3.6000000000000001E-5</v>
      </c>
      <c r="B10" s="42">
        <v>1.3002400000000001</v>
      </c>
      <c r="C10" s="11" t="s">
        <v>24</v>
      </c>
      <c r="D10" s="12">
        <v>6.0775192204836077E-2</v>
      </c>
      <c r="E10" s="2">
        <f t="shared" si="1"/>
        <v>1.2983705133267582</v>
      </c>
      <c r="F10">
        <f t="shared" si="0"/>
        <v>1.8694866732418269E-3</v>
      </c>
      <c r="H10" s="1"/>
      <c r="I10" s="4"/>
    </row>
    <row r="11" spans="1:12" x14ac:dyDescent="0.25">
      <c r="A11" s="42">
        <v>4.0000000000000003E-5</v>
      </c>
      <c r="B11" s="42">
        <v>1.30213</v>
      </c>
      <c r="C11" s="11" t="s">
        <v>15</v>
      </c>
      <c r="D11" s="12">
        <v>0.11862421767360785</v>
      </c>
      <c r="E11" s="2">
        <f t="shared" si="1"/>
        <v>1.2981136890595943</v>
      </c>
      <c r="F11">
        <f t="shared" si="0"/>
        <v>4.0163109404056652E-3</v>
      </c>
      <c r="H11" s="1"/>
      <c r="I11" s="4"/>
    </row>
    <row r="12" spans="1:12" x14ac:dyDescent="0.25">
      <c r="A12" s="42">
        <v>4.3999999999999999E-5</v>
      </c>
      <c r="B12" s="42">
        <v>1.3018400000000001</v>
      </c>
      <c r="C12" s="11" t="s">
        <v>23</v>
      </c>
      <c r="D12" s="12">
        <v>4.0297976207923195E-4</v>
      </c>
      <c r="E12" s="2">
        <f t="shared" si="1"/>
        <v>1.2978593731821786</v>
      </c>
      <c r="F12">
        <f t="shared" si="0"/>
        <v>3.9806268178215198E-3</v>
      </c>
      <c r="H12" s="1"/>
      <c r="I12" s="4"/>
    </row>
    <row r="13" spans="1:12" x14ac:dyDescent="0.25">
      <c r="A13" s="42">
        <v>4.8000000000000001E-5</v>
      </c>
      <c r="B13" s="42">
        <v>1.2940400000000001</v>
      </c>
      <c r="E13" s="2">
        <f t="shared" si="1"/>
        <v>1.2976075409137535</v>
      </c>
      <c r="F13">
        <f t="shared" si="0"/>
        <v>-3.567540913753442E-3</v>
      </c>
      <c r="H13" s="1"/>
    </row>
    <row r="14" spans="1:12" x14ac:dyDescent="0.25">
      <c r="A14" s="42">
        <v>5.1999999999999997E-5</v>
      </c>
      <c r="B14" s="42">
        <v>1.29236</v>
      </c>
      <c r="E14" s="2">
        <f t="shared" si="1"/>
        <v>1.2973581677183903</v>
      </c>
      <c r="F14">
        <f t="shared" si="0"/>
        <v>-4.998167718390345E-3</v>
      </c>
      <c r="H14" s="1"/>
    </row>
    <row r="15" spans="1:12" x14ac:dyDescent="0.25">
      <c r="A15" s="42">
        <v>5.5999999999999999E-5</v>
      </c>
      <c r="B15" s="42">
        <v>1.29857</v>
      </c>
      <c r="E15" s="2">
        <f t="shared" si="1"/>
        <v>1.2971112293025684</v>
      </c>
      <c r="F15">
        <f t="shared" si="0"/>
        <v>1.4587706974316106E-3</v>
      </c>
      <c r="H15" s="1"/>
    </row>
    <row r="16" spans="1:12" x14ac:dyDescent="0.25">
      <c r="A16" s="42">
        <v>6.0000000000000002E-5</v>
      </c>
      <c r="B16" s="42">
        <v>1.29081</v>
      </c>
      <c r="E16" s="2">
        <f t="shared" si="1"/>
        <v>1.2968667016127831</v>
      </c>
      <c r="F16">
        <f t="shared" si="0"/>
        <v>-6.0567016127830442E-3</v>
      </c>
      <c r="H16" s="1"/>
    </row>
    <row r="17" spans="1:8" x14ac:dyDescent="0.25">
      <c r="A17" s="42">
        <v>6.3999999999999997E-5</v>
      </c>
      <c r="B17" s="42">
        <v>1.2898499999999999</v>
      </c>
      <c r="E17" s="2">
        <f t="shared" si="1"/>
        <v>1.2966245608331717</v>
      </c>
      <c r="F17">
        <f t="shared" si="0"/>
        <v>-6.7745608331717388E-3</v>
      </c>
      <c r="H17" s="1"/>
    </row>
    <row r="18" spans="1:8" x14ac:dyDescent="0.25">
      <c r="A18" s="42">
        <v>7.2000000000000002E-5</v>
      </c>
      <c r="B18" s="42">
        <v>1.3057000000000001</v>
      </c>
      <c r="E18" s="2">
        <f t="shared" si="1"/>
        <v>1.2961473459151744</v>
      </c>
      <c r="F18">
        <f t="shared" si="0"/>
        <v>9.5526540848256403E-3</v>
      </c>
      <c r="H18" s="1"/>
    </row>
    <row r="19" spans="1:8" x14ac:dyDescent="0.25">
      <c r="A19" s="42">
        <v>8.0000000000000007E-5</v>
      </c>
      <c r="B19" s="42">
        <v>1.2821499999999999</v>
      </c>
      <c r="E19" s="2">
        <f t="shared" si="1"/>
        <v>1.2956793986859014</v>
      </c>
      <c r="F19">
        <f t="shared" si="0"/>
        <v>-1.3529398685901528E-2</v>
      </c>
      <c r="H19" s="1"/>
    </row>
    <row r="20" spans="1:8" x14ac:dyDescent="0.25">
      <c r="A20" s="42">
        <v>8.7999999999999998E-5</v>
      </c>
      <c r="B20" s="42">
        <v>1.2886899999999999</v>
      </c>
      <c r="E20" s="2">
        <f t="shared" si="1"/>
        <v>1.2952205369370979</v>
      </c>
      <c r="F20">
        <f t="shared" si="0"/>
        <v>-6.5305369370980415E-3</v>
      </c>
      <c r="H20" s="1"/>
    </row>
    <row r="21" spans="1:8" x14ac:dyDescent="0.25">
      <c r="A21" s="42">
        <v>9.6000000000000002E-5</v>
      </c>
      <c r="B21" s="42">
        <v>1.29047</v>
      </c>
      <c r="E21" s="2">
        <f t="shared" si="1"/>
        <v>1.2947705820430753</v>
      </c>
      <c r="F21">
        <f t="shared" si="0"/>
        <v>-4.3005820430752628E-3</v>
      </c>
      <c r="H21" s="1"/>
    </row>
    <row r="22" spans="1:8" x14ac:dyDescent="0.25">
      <c r="A22" s="42">
        <v>1.0399999999999999E-4</v>
      </c>
      <c r="B22" s="42">
        <v>1.2945199999999999</v>
      </c>
      <c r="E22" s="2">
        <f t="shared" si="1"/>
        <v>1.294329358890272</v>
      </c>
      <c r="F22">
        <f t="shared" si="0"/>
        <v>1.9064110972788484E-4</v>
      </c>
      <c r="H22" s="1"/>
    </row>
    <row r="23" spans="1:8" x14ac:dyDescent="0.25">
      <c r="A23" s="42">
        <v>1.12E-4</v>
      </c>
      <c r="B23" s="42">
        <v>1.28582</v>
      </c>
      <c r="E23" s="2">
        <f t="shared" si="1"/>
        <v>1.2938966958081977</v>
      </c>
      <c r="F23">
        <f t="shared" si="0"/>
        <v>-8.0766958081976981E-3</v>
      </c>
      <c r="H23" s="1"/>
    </row>
    <row r="24" spans="1:8" x14ac:dyDescent="0.25">
      <c r="A24" s="42">
        <v>1.2E-4</v>
      </c>
      <c r="B24" s="42">
        <v>1.29728</v>
      </c>
      <c r="E24" s="2">
        <f t="shared" si="1"/>
        <v>1.2934724245017359</v>
      </c>
      <c r="F24">
        <f t="shared" si="0"/>
        <v>3.8075754982640486E-3</v>
      </c>
      <c r="H24" s="1"/>
    </row>
    <row r="25" spans="1:8" x14ac:dyDescent="0.25">
      <c r="A25" s="42">
        <v>1.2799999999999999E-4</v>
      </c>
      <c r="B25" s="42">
        <v>1.2944</v>
      </c>
      <c r="E25" s="2">
        <f t="shared" si="1"/>
        <v>1.2930563799847783</v>
      </c>
      <c r="F25">
        <f t="shared" si="0"/>
        <v>1.3436200152217026E-3</v>
      </c>
      <c r="H25" s="1"/>
    </row>
    <row r="26" spans="1:8" x14ac:dyDescent="0.25">
      <c r="A26" s="42">
        <v>1.44E-4</v>
      </c>
      <c r="B26" s="42">
        <v>1.2915399999999999</v>
      </c>
      <c r="E26" s="2">
        <f t="shared" si="1"/>
        <v>1.2922483275308856</v>
      </c>
      <c r="F26">
        <f t="shared" si="0"/>
        <v>-7.0832753088567735E-4</v>
      </c>
      <c r="H26" s="1"/>
    </row>
    <row r="27" spans="1:8" x14ac:dyDescent="0.25">
      <c r="A27" s="42">
        <v>1.6000000000000001E-4</v>
      </c>
      <c r="B27" s="42">
        <v>1.29053</v>
      </c>
      <c r="E27" s="2">
        <f t="shared" si="1"/>
        <v>1.2914712822972407</v>
      </c>
      <c r="F27">
        <f t="shared" si="0"/>
        <v>-9.4128229724077528E-4</v>
      </c>
      <c r="H27" s="1"/>
    </row>
    <row r="28" spans="1:8" x14ac:dyDescent="0.25">
      <c r="A28" s="42">
        <v>1.76E-4</v>
      </c>
      <c r="B28" s="42">
        <v>1.2883899999999999</v>
      </c>
      <c r="E28" s="2">
        <f t="shared" si="1"/>
        <v>1.2907240370455935</v>
      </c>
      <c r="F28">
        <f t="shared" si="0"/>
        <v>-2.33403704559354E-3</v>
      </c>
      <c r="H28" s="1"/>
    </row>
    <row r="29" spans="1:8" x14ac:dyDescent="0.25">
      <c r="A29" s="42">
        <v>1.92E-4</v>
      </c>
      <c r="B29" s="42">
        <v>1.2898799999999999</v>
      </c>
      <c r="E29" s="2">
        <f t="shared" si="1"/>
        <v>1.2900054315442602</v>
      </c>
      <c r="F29">
        <f t="shared" si="0"/>
        <v>-1.2543154426025716E-4</v>
      </c>
      <c r="H29" s="1"/>
    </row>
    <row r="30" spans="1:8" x14ac:dyDescent="0.25">
      <c r="A30" s="42">
        <v>2.0799999999999999E-4</v>
      </c>
      <c r="B30" s="42">
        <v>1.28976</v>
      </c>
      <c r="E30" s="2">
        <f t="shared" si="1"/>
        <v>1.2893143507378144</v>
      </c>
      <c r="F30">
        <f t="shared" si="0"/>
        <v>4.4564926218559897E-4</v>
      </c>
      <c r="H30" s="1"/>
    </row>
    <row r="31" spans="1:8" x14ac:dyDescent="0.25">
      <c r="A31" s="42">
        <v>2.24E-4</v>
      </c>
      <c r="B31" s="42">
        <v>1.2843899999999999</v>
      </c>
      <c r="E31" s="2">
        <f t="shared" si="1"/>
        <v>1.2886497229880454</v>
      </c>
      <c r="F31">
        <f t="shared" si="0"/>
        <v>-4.2597229880454446E-3</v>
      </c>
      <c r="H31" s="1"/>
    </row>
    <row r="32" spans="1:8" x14ac:dyDescent="0.25">
      <c r="A32" s="42">
        <v>2.4000000000000001E-4</v>
      </c>
      <c r="B32" s="42">
        <v>1.29156</v>
      </c>
      <c r="E32" s="2">
        <f t="shared" si="1"/>
        <v>1.2880105183834099</v>
      </c>
      <c r="F32">
        <f t="shared" si="0"/>
        <v>3.5494816165901888E-3</v>
      </c>
      <c r="H32" s="1"/>
    </row>
    <row r="33" spans="1:8" x14ac:dyDescent="0.25">
      <c r="A33" s="42">
        <v>2.5599999999999999E-4</v>
      </c>
      <c r="B33" s="42">
        <v>1.28746</v>
      </c>
      <c r="E33" s="2">
        <f t="shared" si="1"/>
        <v>1.2873957471143074</v>
      </c>
      <c r="F33">
        <f t="shared" si="0"/>
        <v>6.4252885692672734E-5</v>
      </c>
      <c r="H33" s="1"/>
    </row>
    <row r="34" spans="1:8" x14ac:dyDescent="0.25">
      <c r="A34" s="42">
        <v>2.8800000000000001E-4</v>
      </c>
      <c r="B34" s="42">
        <v>1.2807900000000001</v>
      </c>
      <c r="E34" s="2">
        <f t="shared" si="1"/>
        <v>1.2862357365460473</v>
      </c>
      <c r="F34">
        <f t="shared" si="0"/>
        <v>-5.4457365460471863E-3</v>
      </c>
      <c r="H34" s="1"/>
    </row>
    <row r="35" spans="1:8" x14ac:dyDescent="0.25">
      <c r="A35" s="42">
        <v>3.2000000000000003E-4</v>
      </c>
      <c r="B35" s="42">
        <v>1.2841</v>
      </c>
      <c r="E35" s="2">
        <f t="shared" si="1"/>
        <v>1.2851625170109271</v>
      </c>
      <c r="F35">
        <f t="shared" si="0"/>
        <v>-1.0625170109270776E-3</v>
      </c>
      <c r="H35" s="1"/>
    </row>
    <row r="36" spans="1:8" x14ac:dyDescent="0.25">
      <c r="A36" s="42">
        <v>3.5199999999999999E-4</v>
      </c>
      <c r="B36" s="42">
        <v>1.28145</v>
      </c>
      <c r="E36" s="2">
        <f t="shared" si="1"/>
        <v>1.2841694620526967</v>
      </c>
      <c r="F36">
        <f t="shared" si="0"/>
        <v>-2.7194620526966862E-3</v>
      </c>
      <c r="H36" s="1"/>
    </row>
    <row r="37" spans="1:8" x14ac:dyDescent="0.25">
      <c r="A37" s="42">
        <v>3.8400000000000001E-4</v>
      </c>
      <c r="B37" s="42">
        <v>1.2881</v>
      </c>
      <c r="E37" s="2">
        <f t="shared" si="1"/>
        <v>1.283250451200791</v>
      </c>
      <c r="F37">
        <f t="shared" si="0"/>
        <v>4.8495487992090691E-3</v>
      </c>
      <c r="H37" s="1"/>
    </row>
    <row r="38" spans="1:8" x14ac:dyDescent="0.25">
      <c r="A38" s="42">
        <v>4.1599999999999997E-4</v>
      </c>
      <c r="B38" s="42">
        <v>1.2792600000000001</v>
      </c>
      <c r="E38" s="2">
        <f t="shared" si="1"/>
        <v>1.2823998313340301</v>
      </c>
      <c r="F38">
        <f t="shared" si="0"/>
        <v>-3.1398313340300632E-3</v>
      </c>
      <c r="H38" s="1"/>
    </row>
    <row r="39" spans="1:8" x14ac:dyDescent="0.25">
      <c r="A39" s="42">
        <v>4.4799999999999999E-4</v>
      </c>
      <c r="B39" s="42">
        <v>1.2808900000000001</v>
      </c>
      <c r="E39" s="2">
        <f t="shared" si="1"/>
        <v>1.2816123809945308</v>
      </c>
      <c r="F39">
        <f t="shared" si="0"/>
        <v>-7.2238099453070248E-4</v>
      </c>
      <c r="H39" s="1"/>
    </row>
    <row r="40" spans="1:8" x14ac:dyDescent="0.25">
      <c r="A40" s="42">
        <v>4.8000000000000001E-4</v>
      </c>
      <c r="B40" s="42">
        <v>1.2785599999999999</v>
      </c>
      <c r="E40" s="2">
        <f t="shared" si="1"/>
        <v>1.2808832774265524</v>
      </c>
      <c r="F40">
        <f t="shared" si="0"/>
        <v>-2.3232774265524725E-3</v>
      </c>
      <c r="H40" s="1"/>
    </row>
    <row r="41" spans="1:8" x14ac:dyDescent="0.25">
      <c r="A41" s="42">
        <v>5.1199999999999998E-4</v>
      </c>
      <c r="B41" s="42">
        <v>1.27759</v>
      </c>
      <c r="E41" s="2">
        <f t="shared" si="1"/>
        <v>1.2802080661322084</v>
      </c>
      <c r="F41">
        <f t="shared" si="0"/>
        <v>-2.6180661322083854E-3</v>
      </c>
      <c r="H41" s="1"/>
    </row>
    <row r="42" spans="1:8" x14ac:dyDescent="0.25">
      <c r="A42" s="42">
        <v>5.7600000000000001E-4</v>
      </c>
      <c r="B42" s="42">
        <v>1.2786</v>
      </c>
      <c r="E42" s="2">
        <f t="shared" si="1"/>
        <v>1.2790031770916563</v>
      </c>
      <c r="F42">
        <f t="shared" si="0"/>
        <v>-4.0317709165638149E-4</v>
      </c>
      <c r="H42" s="1"/>
    </row>
    <row r="43" spans="1:8" x14ac:dyDescent="0.25">
      <c r="A43" s="42">
        <v>6.4000000000000005E-4</v>
      </c>
      <c r="B43" s="42">
        <v>1.28071</v>
      </c>
      <c r="E43" s="2">
        <f t="shared" si="1"/>
        <v>1.2779684268818339</v>
      </c>
      <c r="F43">
        <f t="shared" si="0"/>
        <v>2.7415731181661407E-3</v>
      </c>
      <c r="H43" s="1"/>
    </row>
    <row r="44" spans="1:8" x14ac:dyDescent="0.25">
      <c r="A44" s="42">
        <v>7.0399999999999998E-4</v>
      </c>
      <c r="B44" s="42">
        <v>1.28078</v>
      </c>
      <c r="E44" s="2">
        <f t="shared" si="1"/>
        <v>1.2770788303638911</v>
      </c>
      <c r="F44">
        <f t="shared" si="0"/>
        <v>3.7011696361088919E-3</v>
      </c>
      <c r="H44" s="1"/>
    </row>
    <row r="45" spans="1:8" x14ac:dyDescent="0.25">
      <c r="A45" s="42">
        <v>7.6800000000000002E-4</v>
      </c>
      <c r="B45" s="42">
        <v>1.27888</v>
      </c>
      <c r="E45" s="2">
        <f t="shared" si="1"/>
        <v>1.2763130723678584</v>
      </c>
      <c r="F45">
        <f t="shared" si="0"/>
        <v>2.5669276321416135E-3</v>
      </c>
      <c r="H45" s="1"/>
    </row>
    <row r="46" spans="1:8" x14ac:dyDescent="0.25">
      <c r="A46" s="42">
        <v>8.3199999999999995E-4</v>
      </c>
      <c r="B46" s="42">
        <v>1.2818700000000001</v>
      </c>
      <c r="E46" s="2">
        <f t="shared" si="1"/>
        <v>1.2756529686243674</v>
      </c>
      <c r="F46">
        <f t="shared" si="0"/>
        <v>6.2170313756326756E-3</v>
      </c>
      <c r="H46" s="1"/>
    </row>
    <row r="47" spans="1:8" x14ac:dyDescent="0.25">
      <c r="A47" s="42">
        <v>8.9599999999999999E-4</v>
      </c>
      <c r="B47" s="42">
        <v>1.27911</v>
      </c>
      <c r="E47" s="2">
        <f t="shared" si="1"/>
        <v>1.275083005878143</v>
      </c>
      <c r="F47">
        <f t="shared" si="0"/>
        <v>4.0269941218569194E-3</v>
      </c>
      <c r="H47" s="1"/>
    </row>
    <row r="48" spans="1:8" x14ac:dyDescent="0.25">
      <c r="A48" s="42">
        <v>9.6000000000000002E-4</v>
      </c>
      <c r="B48" s="42">
        <v>1.27854</v>
      </c>
      <c r="E48" s="2">
        <f t="shared" si="1"/>
        <v>1.2745899495525441</v>
      </c>
      <c r="F48">
        <f t="shared" si="0"/>
        <v>3.9500504474558884E-3</v>
      </c>
      <c r="H48" s="1"/>
    </row>
    <row r="49" spans="1:8" x14ac:dyDescent="0.25">
      <c r="A49" s="42">
        <v>1.024E-3</v>
      </c>
      <c r="B49" s="42">
        <v>1.27861</v>
      </c>
      <c r="E49" s="2">
        <f t="shared" si="1"/>
        <v>1.2741625090428241</v>
      </c>
      <c r="F49">
        <f t="shared" si="0"/>
        <v>4.4474909571758925E-3</v>
      </c>
      <c r="H49" s="1"/>
    </row>
    <row r="50" spans="1:8" x14ac:dyDescent="0.25">
      <c r="A50" s="42">
        <v>1.152E-3</v>
      </c>
      <c r="B50" s="42">
        <v>1.27712</v>
      </c>
      <c r="E50" s="2">
        <f t="shared" si="1"/>
        <v>1.2734673615965169</v>
      </c>
      <c r="F50">
        <f t="shared" si="0"/>
        <v>3.6526384034831771E-3</v>
      </c>
      <c r="H50" s="1"/>
    </row>
    <row r="51" spans="1:8" x14ac:dyDescent="0.25">
      <c r="A51" s="42">
        <v>1.2800000000000001E-3</v>
      </c>
      <c r="B51" s="42">
        <v>1.27891</v>
      </c>
      <c r="E51" s="2">
        <f t="shared" si="1"/>
        <v>1.2729362676869276</v>
      </c>
      <c r="F51">
        <f t="shared" si="0"/>
        <v>5.9737323130724107E-3</v>
      </c>
      <c r="H51" s="1"/>
    </row>
    <row r="52" spans="1:8" x14ac:dyDescent="0.25">
      <c r="A52" s="42">
        <v>1.408E-3</v>
      </c>
      <c r="B52" s="42">
        <v>1.27593</v>
      </c>
      <c r="E52" s="2">
        <f t="shared" si="1"/>
        <v>1.2725246159172325</v>
      </c>
      <c r="F52">
        <f t="shared" si="0"/>
        <v>3.4053840827674708E-3</v>
      </c>
      <c r="H52" s="1"/>
    </row>
    <row r="53" spans="1:8" x14ac:dyDescent="0.25">
      <c r="A53" s="42">
        <v>1.536E-3</v>
      </c>
      <c r="B53" s="42">
        <v>1.27671</v>
      </c>
      <c r="E53" s="2">
        <f t="shared" si="1"/>
        <v>1.2721999378866689</v>
      </c>
      <c r="F53">
        <f t="shared" si="0"/>
        <v>4.5100621133311591E-3</v>
      </c>
      <c r="H53" s="1"/>
    </row>
    <row r="54" spans="1:8" x14ac:dyDescent="0.25">
      <c r="A54" s="42">
        <v>1.6639999999999999E-3</v>
      </c>
      <c r="B54" s="42">
        <v>1.2764899999999999</v>
      </c>
      <c r="E54" s="2">
        <f t="shared" si="1"/>
        <v>1.271938602903067</v>
      </c>
      <c r="F54">
        <f t="shared" si="0"/>
        <v>4.5513970969328632E-3</v>
      </c>
      <c r="H54" s="1"/>
    </row>
    <row r="55" spans="1:8" x14ac:dyDescent="0.25">
      <c r="A55" s="42">
        <v>1.792E-3</v>
      </c>
      <c r="B55" s="42">
        <v>1.27427</v>
      </c>
      <c r="E55" s="2">
        <f t="shared" si="1"/>
        <v>1.2717234123849219</v>
      </c>
      <c r="F55">
        <f t="shared" si="0"/>
        <v>2.5465876150780886E-3</v>
      </c>
      <c r="H55" s="1"/>
    </row>
    <row r="56" spans="1:8" x14ac:dyDescent="0.25">
      <c r="A56" s="42">
        <v>1.92E-3</v>
      </c>
      <c r="B56" s="42">
        <v>1.27152</v>
      </c>
      <c r="E56" s="2">
        <f t="shared" si="1"/>
        <v>1.2715418490601422</v>
      </c>
      <c r="F56">
        <f t="shared" si="0"/>
        <v>-2.1849060142242749E-5</v>
      </c>
      <c r="H56" s="1"/>
    </row>
    <row r="57" spans="1:8" x14ac:dyDescent="0.25">
      <c r="A57" s="42">
        <v>2.0479999999999999E-3</v>
      </c>
      <c r="B57" s="42">
        <v>1.2743800000000001</v>
      </c>
      <c r="E57" s="2">
        <f t="shared" si="1"/>
        <v>1.2713848027277379</v>
      </c>
      <c r="F57">
        <f t="shared" si="0"/>
        <v>2.9951972722621623E-3</v>
      </c>
      <c r="H57" s="1"/>
    </row>
    <row r="58" spans="1:8" x14ac:dyDescent="0.25">
      <c r="A58" s="42">
        <v>2.3040000000000001E-3</v>
      </c>
      <c r="B58" s="42">
        <v>1.27406</v>
      </c>
      <c r="E58" s="2">
        <f t="shared" si="1"/>
        <v>1.2711195436591538</v>
      </c>
      <c r="F58">
        <f t="shared" si="0"/>
        <v>2.9404563408461648E-3</v>
      </c>
      <c r="H58" s="1"/>
    </row>
    <row r="59" spans="1:8" x14ac:dyDescent="0.25">
      <c r="A59" s="42">
        <v>2.5600000000000002E-3</v>
      </c>
      <c r="B59" s="42">
        <v>1.2732699999999999</v>
      </c>
      <c r="E59" s="2">
        <f t="shared" si="1"/>
        <v>1.2708934338648024</v>
      </c>
      <c r="F59">
        <f t="shared" si="0"/>
        <v>2.3765661351975442E-3</v>
      </c>
      <c r="H59" s="1"/>
    </row>
    <row r="60" spans="1:8" x14ac:dyDescent="0.25">
      <c r="A60" s="42">
        <v>2.8159999999999999E-3</v>
      </c>
      <c r="B60" s="42">
        <v>1.2713699999999999</v>
      </c>
      <c r="E60" s="2">
        <f t="shared" si="1"/>
        <v>1.270688355730498</v>
      </c>
      <c r="F60">
        <f t="shared" si="0"/>
        <v>6.8164426950190204E-4</v>
      </c>
      <c r="H60" s="1"/>
    </row>
    <row r="61" spans="1:8" x14ac:dyDescent="0.25">
      <c r="A61" s="42">
        <v>3.0720000000000001E-3</v>
      </c>
      <c r="B61" s="42">
        <v>1.27203</v>
      </c>
      <c r="E61" s="2">
        <f t="shared" si="1"/>
        <v>1.2704947111387264</v>
      </c>
      <c r="F61">
        <f t="shared" si="0"/>
        <v>1.5352888612736315E-3</v>
      </c>
      <c r="H61" s="1"/>
    </row>
    <row r="62" spans="1:8" x14ac:dyDescent="0.25">
      <c r="A62" s="42">
        <v>3.3279999999999998E-3</v>
      </c>
      <c r="B62" s="42">
        <v>1.2687900000000001</v>
      </c>
      <c r="E62" s="2">
        <f t="shared" si="1"/>
        <v>1.2703074147312892</v>
      </c>
      <c r="F62">
        <f t="shared" si="0"/>
        <v>-1.5174147312890796E-3</v>
      </c>
      <c r="H62" s="1"/>
    </row>
    <row r="63" spans="1:8" x14ac:dyDescent="0.25">
      <c r="A63" s="42">
        <v>3.5839999999999999E-3</v>
      </c>
      <c r="B63" s="42">
        <v>1.2686200000000001</v>
      </c>
      <c r="E63" s="2">
        <f t="shared" si="1"/>
        <v>1.270123771551698</v>
      </c>
      <c r="F63">
        <f t="shared" si="0"/>
        <v>-1.5037715516978967E-3</v>
      </c>
      <c r="H63" s="1"/>
    </row>
    <row r="64" spans="1:8" x14ac:dyDescent="0.25">
      <c r="A64" s="42">
        <v>3.8400000000000001E-3</v>
      </c>
      <c r="B64" s="42">
        <v>1.2706299999999999</v>
      </c>
      <c r="E64" s="2">
        <f t="shared" si="1"/>
        <v>1.2699423528382199</v>
      </c>
      <c r="F64">
        <f t="shared" si="0"/>
        <v>6.8764716178004726E-4</v>
      </c>
      <c r="H64" s="1"/>
    </row>
    <row r="65" spans="1:8" x14ac:dyDescent="0.25">
      <c r="A65" s="42">
        <v>4.0959999999999998E-3</v>
      </c>
      <c r="B65" s="42">
        <v>1.2701899999999999</v>
      </c>
      <c r="E65" s="2">
        <f t="shared" si="1"/>
        <v>1.269762400534534</v>
      </c>
      <c r="F65">
        <f t="shared" si="0"/>
        <v>4.2759946546588878E-4</v>
      </c>
      <c r="H65" s="1"/>
    </row>
    <row r="66" spans="1:8" x14ac:dyDescent="0.25">
      <c r="A66" s="42">
        <v>4.6080000000000001E-3</v>
      </c>
      <c r="B66" s="42">
        <v>1.27007</v>
      </c>
      <c r="E66" s="2">
        <f t="shared" si="1"/>
        <v>1.2694054722308685</v>
      </c>
      <c r="F66">
        <f t="shared" ref="F66:F129" si="2">B66-E66</f>
        <v>6.6452776913150657E-4</v>
      </c>
      <c r="H66" s="1"/>
    </row>
    <row r="67" spans="1:8" x14ac:dyDescent="0.25">
      <c r="A67" s="42">
        <v>5.1200000000000004E-3</v>
      </c>
      <c r="B67" s="42">
        <v>1.26705</v>
      </c>
      <c r="E67" s="2">
        <f t="shared" ref="E67:E130" si="3">$D$2+1/$D$3*($D$8/(1+A67/$D$4)/SQRT(1+A67/$D$4/$D$5/$D$5)+(1-$D$8)/(1+A67/$D$6)/SQRT(1+A67/$D$6/$D$7/$D$7))*(1+$D$9*EXP(-A67/$D$10)+$D$11*EXP(-A67/$D$12))</f>
        <v>1.2690515333387582</v>
      </c>
      <c r="F67">
        <f t="shared" si="2"/>
        <v>-2.001533338758188E-3</v>
      </c>
      <c r="H67" s="1"/>
    </row>
    <row r="68" spans="1:8" x14ac:dyDescent="0.25">
      <c r="A68" s="42">
        <v>5.6319999999999999E-3</v>
      </c>
      <c r="B68" s="42">
        <v>1.2648200000000001</v>
      </c>
      <c r="E68" s="2">
        <f t="shared" si="3"/>
        <v>1.2687001611312583</v>
      </c>
      <c r="F68">
        <f t="shared" si="2"/>
        <v>-3.8801611312582196E-3</v>
      </c>
      <c r="H68" s="1"/>
    </row>
    <row r="69" spans="1:8" x14ac:dyDescent="0.25">
      <c r="A69" s="42">
        <v>6.1440000000000002E-3</v>
      </c>
      <c r="B69" s="42">
        <v>1.26471</v>
      </c>
      <c r="E69" s="2">
        <f t="shared" si="3"/>
        <v>1.2683512221706703</v>
      </c>
      <c r="F69">
        <f t="shared" si="2"/>
        <v>-3.6412221706703107E-3</v>
      </c>
      <c r="H69" s="1"/>
    </row>
    <row r="70" spans="1:8" x14ac:dyDescent="0.25">
      <c r="A70" s="42">
        <v>6.6559999999999996E-3</v>
      </c>
      <c r="B70" s="42">
        <v>1.2662500000000001</v>
      </c>
      <c r="E70" s="2">
        <f t="shared" si="3"/>
        <v>1.268004664317965</v>
      </c>
      <c r="F70">
        <f t="shared" si="2"/>
        <v>-1.7546643179648935E-3</v>
      </c>
      <c r="H70" s="1"/>
    </row>
    <row r="71" spans="1:8" x14ac:dyDescent="0.25">
      <c r="A71" s="42">
        <v>7.1679999999999999E-3</v>
      </c>
      <c r="B71" s="42">
        <v>1.2640899999999999</v>
      </c>
      <c r="E71" s="2">
        <f t="shared" si="3"/>
        <v>1.2676604583737818</v>
      </c>
      <c r="F71">
        <f t="shared" si="2"/>
        <v>-3.5704583737818929E-3</v>
      </c>
      <c r="H71" s="1"/>
    </row>
    <row r="72" spans="1:8" x14ac:dyDescent="0.25">
      <c r="A72" s="42">
        <v>7.6800000000000002E-3</v>
      </c>
      <c r="B72" s="42">
        <v>1.2642199999999999</v>
      </c>
      <c r="E72" s="2">
        <f t="shared" si="3"/>
        <v>1.2673185817029631</v>
      </c>
      <c r="F72">
        <f t="shared" si="2"/>
        <v>-3.0985817029631768E-3</v>
      </c>
      <c r="H72" s="1"/>
    </row>
    <row r="73" spans="1:8" x14ac:dyDescent="0.25">
      <c r="A73" s="42">
        <v>8.1919999999999996E-3</v>
      </c>
      <c r="B73" s="42">
        <v>1.2648699999999999</v>
      </c>
      <c r="E73" s="2">
        <f t="shared" si="3"/>
        <v>1.2669790136388099</v>
      </c>
      <c r="F73">
        <f t="shared" si="2"/>
        <v>-2.1090136388099978E-3</v>
      </c>
      <c r="H73" s="1"/>
    </row>
    <row r="74" spans="1:8" x14ac:dyDescent="0.25">
      <c r="A74" s="42">
        <v>9.2160000000000002E-3</v>
      </c>
      <c r="B74" s="42">
        <v>1.26288</v>
      </c>
      <c r="E74" s="2">
        <f t="shared" si="3"/>
        <v>1.2663067236898438</v>
      </c>
      <c r="F74">
        <f t="shared" si="2"/>
        <v>-3.4267236898437581E-3</v>
      </c>
      <c r="H74" s="1"/>
    </row>
    <row r="75" spans="1:8" x14ac:dyDescent="0.25">
      <c r="A75" s="42">
        <v>1.0240000000000001E-2</v>
      </c>
      <c r="B75" s="42">
        <v>1.26281</v>
      </c>
      <c r="E75" s="2">
        <f t="shared" si="3"/>
        <v>1.2656434318470688</v>
      </c>
      <c r="F75">
        <f t="shared" si="2"/>
        <v>-2.8334318470688569E-3</v>
      </c>
      <c r="H75" s="1"/>
    </row>
    <row r="76" spans="1:8" x14ac:dyDescent="0.25">
      <c r="A76" s="42">
        <v>1.1264E-2</v>
      </c>
      <c r="B76" s="42">
        <v>1.26217</v>
      </c>
      <c r="E76" s="2">
        <f t="shared" si="3"/>
        <v>1.2649889845389364</v>
      </c>
      <c r="F76">
        <f t="shared" si="2"/>
        <v>-2.8189845389363644E-3</v>
      </c>
      <c r="H76" s="1"/>
    </row>
    <row r="77" spans="1:8" x14ac:dyDescent="0.25">
      <c r="A77" s="42">
        <v>1.2288E-2</v>
      </c>
      <c r="B77" s="42">
        <v>1.2611300000000001</v>
      </c>
      <c r="E77" s="2">
        <f t="shared" si="3"/>
        <v>1.2643432309048275</v>
      </c>
      <c r="F77">
        <f t="shared" si="2"/>
        <v>-3.213230904827391E-3</v>
      </c>
      <c r="H77" s="1"/>
    </row>
    <row r="78" spans="1:8" x14ac:dyDescent="0.25">
      <c r="A78" s="42">
        <v>1.3311999999999999E-2</v>
      </c>
      <c r="B78" s="42">
        <v>1.26102</v>
      </c>
      <c r="E78" s="2">
        <f t="shared" si="3"/>
        <v>1.2637060227205192</v>
      </c>
      <c r="F78">
        <f t="shared" si="2"/>
        <v>-2.68602272051921E-3</v>
      </c>
      <c r="H78" s="1"/>
    </row>
    <row r="79" spans="1:8" x14ac:dyDescent="0.25">
      <c r="A79" s="42">
        <v>1.4336E-2</v>
      </c>
      <c r="B79" s="42">
        <v>1.2604200000000001</v>
      </c>
      <c r="E79" s="2">
        <f t="shared" si="3"/>
        <v>1.2630772143498188</v>
      </c>
      <c r="F79">
        <f t="shared" si="2"/>
        <v>-2.6572143498186929E-3</v>
      </c>
      <c r="H79" s="1"/>
    </row>
    <row r="80" spans="1:8" x14ac:dyDescent="0.25">
      <c r="A80" s="42">
        <v>1.536E-2</v>
      </c>
      <c r="B80" s="42">
        <v>1.25851</v>
      </c>
      <c r="E80" s="2">
        <f t="shared" si="3"/>
        <v>1.2624566626990097</v>
      </c>
      <c r="F80">
        <f t="shared" si="2"/>
        <v>-3.9466626990096731E-3</v>
      </c>
      <c r="H80" s="1"/>
    </row>
    <row r="81" spans="1:8" x14ac:dyDescent="0.25">
      <c r="A81" s="42">
        <v>1.6383999999999999E-2</v>
      </c>
      <c r="B81" s="42">
        <v>1.25844</v>
      </c>
      <c r="E81" s="2">
        <f t="shared" si="3"/>
        <v>1.2618442271722519</v>
      </c>
      <c r="F81">
        <f t="shared" si="2"/>
        <v>-3.4042271722518613E-3</v>
      </c>
      <c r="H81" s="1"/>
    </row>
    <row r="82" spans="1:8" x14ac:dyDescent="0.25">
      <c r="A82" s="42">
        <v>1.8432E-2</v>
      </c>
      <c r="B82" s="42">
        <v>1.2583299999999999</v>
      </c>
      <c r="E82" s="2">
        <f t="shared" si="3"/>
        <v>1.2606431543348482</v>
      </c>
      <c r="F82">
        <f t="shared" si="2"/>
        <v>-2.3131543348482442E-3</v>
      </c>
      <c r="H82" s="1"/>
    </row>
    <row r="83" spans="1:8" x14ac:dyDescent="0.25">
      <c r="A83" s="42">
        <v>2.0480000000000002E-2</v>
      </c>
      <c r="B83" s="42">
        <v>1.2566200000000001</v>
      </c>
      <c r="E83" s="2">
        <f t="shared" si="3"/>
        <v>1.2594729193829954</v>
      </c>
      <c r="F83">
        <f t="shared" si="2"/>
        <v>-2.852919382995367E-3</v>
      </c>
      <c r="H83" s="1"/>
    </row>
    <row r="84" spans="1:8" x14ac:dyDescent="0.25">
      <c r="A84" s="42">
        <v>2.2527999999999999E-2</v>
      </c>
      <c r="B84" s="42">
        <v>1.2562500000000001</v>
      </c>
      <c r="E84" s="2">
        <f t="shared" si="3"/>
        <v>1.2583324831035791</v>
      </c>
      <c r="F84">
        <f t="shared" si="2"/>
        <v>-2.0824831035790581E-3</v>
      </c>
      <c r="H84" s="1"/>
    </row>
    <row r="85" spans="1:8" x14ac:dyDescent="0.25">
      <c r="A85" s="42">
        <v>2.4576000000000001E-2</v>
      </c>
      <c r="B85" s="42">
        <v>1.25552</v>
      </c>
      <c r="E85" s="2">
        <f t="shared" si="3"/>
        <v>1.2572208422305529</v>
      </c>
      <c r="F85">
        <f t="shared" si="2"/>
        <v>-1.7008422305528903E-3</v>
      </c>
      <c r="H85" s="1"/>
    </row>
    <row r="86" spans="1:8" x14ac:dyDescent="0.25">
      <c r="A86" s="42">
        <v>2.6623999999999998E-2</v>
      </c>
      <c r="B86" s="42">
        <v>1.2538199999999999</v>
      </c>
      <c r="E86" s="2">
        <f t="shared" si="3"/>
        <v>1.2561370281956159</v>
      </c>
      <c r="F86">
        <f t="shared" si="2"/>
        <v>-2.3170281956159666E-3</v>
      </c>
      <c r="H86" s="1"/>
    </row>
    <row r="87" spans="1:8" x14ac:dyDescent="0.25">
      <c r="A87" s="42">
        <v>2.8672E-2</v>
      </c>
      <c r="B87" s="42">
        <v>1.2531699999999999</v>
      </c>
      <c r="E87" s="2">
        <f t="shared" si="3"/>
        <v>1.2550801059224177</v>
      </c>
      <c r="F87">
        <f t="shared" si="2"/>
        <v>-1.9101059224178041E-3</v>
      </c>
      <c r="H87" s="1"/>
    </row>
    <row r="88" spans="1:8" x14ac:dyDescent="0.25">
      <c r="A88" s="42">
        <v>3.0720000000000001E-2</v>
      </c>
      <c r="B88" s="42">
        <v>1.25308</v>
      </c>
      <c r="E88" s="2">
        <f t="shared" si="3"/>
        <v>1.2540491726627736</v>
      </c>
      <c r="F88">
        <f t="shared" si="2"/>
        <v>-9.691726627736319E-4</v>
      </c>
      <c r="H88" s="1"/>
    </row>
    <row r="89" spans="1:8" x14ac:dyDescent="0.25">
      <c r="A89" s="42">
        <v>3.2767999999999999E-2</v>
      </c>
      <c r="B89" s="42">
        <v>1.2522899999999999</v>
      </c>
      <c r="E89" s="2">
        <f t="shared" si="3"/>
        <v>1.2530433568734225</v>
      </c>
      <c r="F89">
        <f t="shared" si="2"/>
        <v>-7.5335687342259483E-4</v>
      </c>
      <c r="H89" s="1"/>
    </row>
    <row r="90" spans="1:8" x14ac:dyDescent="0.25">
      <c r="A90" s="42">
        <v>3.6864000000000001E-2</v>
      </c>
      <c r="B90" s="42">
        <v>1.2505500000000001</v>
      </c>
      <c r="E90" s="2">
        <f t="shared" si="3"/>
        <v>1.2511037410902377</v>
      </c>
      <c r="F90">
        <f t="shared" si="2"/>
        <v>-5.5374109023764717E-4</v>
      </c>
      <c r="H90" s="1"/>
    </row>
    <row r="91" spans="1:8" x14ac:dyDescent="0.25">
      <c r="A91" s="42">
        <v>4.0960000000000003E-2</v>
      </c>
      <c r="B91" s="42">
        <v>1.2493799999999999</v>
      </c>
      <c r="E91" s="2">
        <f t="shared" si="3"/>
        <v>1.2492548700623554</v>
      </c>
      <c r="F91">
        <f t="shared" si="2"/>
        <v>1.251299376445747E-4</v>
      </c>
      <c r="H91" s="1"/>
    </row>
    <row r="92" spans="1:8" x14ac:dyDescent="0.25">
      <c r="A92" s="42">
        <v>4.5055999999999999E-2</v>
      </c>
      <c r="B92" s="42">
        <v>1.2477</v>
      </c>
      <c r="E92" s="2">
        <f t="shared" si="3"/>
        <v>1.2474907889875904</v>
      </c>
      <c r="F92">
        <f t="shared" si="2"/>
        <v>2.0921101240967133E-4</v>
      </c>
      <c r="H92" s="1"/>
    </row>
    <row r="93" spans="1:8" x14ac:dyDescent="0.25">
      <c r="A93" s="42">
        <v>4.9152000000000001E-2</v>
      </c>
      <c r="B93" s="42">
        <v>1.24603</v>
      </c>
      <c r="E93" s="2">
        <f t="shared" si="3"/>
        <v>1.2458059471719529</v>
      </c>
      <c r="F93">
        <f t="shared" si="2"/>
        <v>2.2405282804704996E-4</v>
      </c>
      <c r="H93" s="1"/>
    </row>
    <row r="94" spans="1:8" x14ac:dyDescent="0.25">
      <c r="A94" s="42">
        <v>5.3247999999999997E-2</v>
      </c>
      <c r="B94" s="42">
        <v>1.2450600000000001</v>
      </c>
      <c r="E94" s="2">
        <f t="shared" si="3"/>
        <v>1.2441951704547649</v>
      </c>
      <c r="F94">
        <f t="shared" si="2"/>
        <v>8.6482954523514621E-4</v>
      </c>
      <c r="H94" s="1"/>
    </row>
    <row r="95" spans="1:8" x14ac:dyDescent="0.25">
      <c r="A95" s="42">
        <v>5.7343999999999999E-2</v>
      </c>
      <c r="B95" s="42">
        <v>1.24352</v>
      </c>
      <c r="E95" s="2">
        <f t="shared" si="3"/>
        <v>1.2426536355201376</v>
      </c>
      <c r="F95">
        <f t="shared" si="2"/>
        <v>8.663644798623249E-4</v>
      </c>
      <c r="H95" s="1"/>
    </row>
    <row r="96" spans="1:8" x14ac:dyDescent="0.25">
      <c r="A96" s="42">
        <v>6.1440000000000002E-2</v>
      </c>
      <c r="B96" s="42">
        <v>1.2429399999999999</v>
      </c>
      <c r="E96" s="2">
        <f t="shared" si="3"/>
        <v>1.2411768459654828</v>
      </c>
      <c r="F96">
        <f t="shared" si="2"/>
        <v>1.7631540345171004E-3</v>
      </c>
      <c r="H96" s="1"/>
    </row>
    <row r="97" spans="1:8" x14ac:dyDescent="0.25">
      <c r="A97" s="42">
        <v>6.5535999999999997E-2</v>
      </c>
      <c r="B97" s="42">
        <v>1.24129</v>
      </c>
      <c r="E97" s="2">
        <f t="shared" si="3"/>
        <v>1.2397606100066083</v>
      </c>
      <c r="F97">
        <f t="shared" si="2"/>
        <v>1.5293899933916943E-3</v>
      </c>
      <c r="H97" s="1"/>
    </row>
    <row r="98" spans="1:8" x14ac:dyDescent="0.25">
      <c r="A98" s="42">
        <v>7.3728000000000002E-2</v>
      </c>
      <c r="B98" s="42">
        <v>1.23946</v>
      </c>
      <c r="E98" s="2">
        <f t="shared" si="3"/>
        <v>1.2370944316284402</v>
      </c>
      <c r="F98">
        <f t="shared" si="2"/>
        <v>2.3655683715597675E-3</v>
      </c>
      <c r="H98" s="1"/>
    </row>
    <row r="99" spans="1:8" x14ac:dyDescent="0.25">
      <c r="A99" s="42">
        <v>8.1920000000000007E-2</v>
      </c>
      <c r="B99" s="42">
        <v>1.2368600000000001</v>
      </c>
      <c r="E99" s="2">
        <f t="shared" si="3"/>
        <v>1.2346269039287125</v>
      </c>
      <c r="F99">
        <f t="shared" si="2"/>
        <v>2.2330960712875214E-3</v>
      </c>
      <c r="H99" s="1"/>
    </row>
    <row r="100" spans="1:8" x14ac:dyDescent="0.25">
      <c r="A100" s="42">
        <v>9.0111999999999998E-2</v>
      </c>
      <c r="B100" s="42">
        <v>1.23491</v>
      </c>
      <c r="E100" s="2">
        <f t="shared" si="3"/>
        <v>1.2323335144168062</v>
      </c>
      <c r="F100">
        <f t="shared" si="2"/>
        <v>2.5764855831937883E-3</v>
      </c>
      <c r="H100" s="1"/>
    </row>
    <row r="101" spans="1:8" x14ac:dyDescent="0.25">
      <c r="A101" s="42">
        <v>9.8304000000000002E-2</v>
      </c>
      <c r="B101" s="42">
        <v>1.2326699999999999</v>
      </c>
      <c r="E101" s="2">
        <f t="shared" si="3"/>
        <v>1.2301929497180777</v>
      </c>
      <c r="F101">
        <f t="shared" si="2"/>
        <v>2.477050281922244E-3</v>
      </c>
      <c r="H101" s="1"/>
    </row>
    <row r="102" spans="1:8" x14ac:dyDescent="0.25">
      <c r="A102" s="42">
        <v>0.10649599999999999</v>
      </c>
      <c r="B102" s="42">
        <v>1.23102</v>
      </c>
      <c r="E102" s="2">
        <f t="shared" si="3"/>
        <v>1.2281866747011723</v>
      </c>
      <c r="F102">
        <f t="shared" si="2"/>
        <v>2.833325298827738E-3</v>
      </c>
      <c r="H102" s="1"/>
    </row>
    <row r="103" spans="1:8" x14ac:dyDescent="0.25">
      <c r="A103" s="42">
        <v>0.114688</v>
      </c>
      <c r="B103" s="42">
        <v>1.22905</v>
      </c>
      <c r="E103" s="2">
        <f t="shared" si="3"/>
        <v>1.2262985671237185</v>
      </c>
      <c r="F103">
        <f t="shared" si="2"/>
        <v>2.7514328762814344E-3</v>
      </c>
      <c r="H103" s="1"/>
    </row>
    <row r="104" spans="1:8" x14ac:dyDescent="0.25">
      <c r="A104" s="42">
        <v>0.12288</v>
      </c>
      <c r="B104" s="42">
        <v>1.2274099999999999</v>
      </c>
      <c r="E104" s="2">
        <f t="shared" si="3"/>
        <v>1.2245146004579603</v>
      </c>
      <c r="F104">
        <f t="shared" si="2"/>
        <v>2.8953995420395451E-3</v>
      </c>
      <c r="H104" s="1"/>
    </row>
    <row r="105" spans="1:8" x14ac:dyDescent="0.25">
      <c r="A105" s="42">
        <v>0.13107199999999999</v>
      </c>
      <c r="B105" s="42">
        <v>1.2254499999999999</v>
      </c>
      <c r="E105" s="2">
        <f t="shared" si="3"/>
        <v>1.2228225685298351</v>
      </c>
      <c r="F105">
        <f t="shared" si="2"/>
        <v>2.6274314701648649E-3</v>
      </c>
      <c r="H105" s="1"/>
    </row>
    <row r="106" spans="1:8" x14ac:dyDescent="0.25">
      <c r="A106" s="42">
        <v>0.147456</v>
      </c>
      <c r="B106" s="42">
        <v>1.22184</v>
      </c>
      <c r="E106" s="2">
        <f t="shared" si="3"/>
        <v>1.219673183030348</v>
      </c>
      <c r="F106">
        <f t="shared" si="2"/>
        <v>2.1668169696520412E-3</v>
      </c>
      <c r="H106" s="1"/>
    </row>
    <row r="107" spans="1:8" x14ac:dyDescent="0.25">
      <c r="A107" s="42">
        <v>0.16384000000000001</v>
      </c>
      <c r="B107" s="42">
        <v>1.2188000000000001</v>
      </c>
      <c r="E107" s="2">
        <f t="shared" si="3"/>
        <v>1.2167808383313046</v>
      </c>
      <c r="F107">
        <f t="shared" si="2"/>
        <v>2.0191616686955349E-3</v>
      </c>
      <c r="H107" s="1"/>
    </row>
    <row r="108" spans="1:8" x14ac:dyDescent="0.25">
      <c r="A108" s="42">
        <v>0.180224</v>
      </c>
      <c r="B108" s="42">
        <v>1.2159</v>
      </c>
      <c r="E108" s="2">
        <f t="shared" si="3"/>
        <v>1.2140927189017605</v>
      </c>
      <c r="F108">
        <f t="shared" si="2"/>
        <v>1.807281098239466E-3</v>
      </c>
      <c r="H108" s="1"/>
    </row>
    <row r="109" spans="1:8" x14ac:dyDescent="0.25">
      <c r="A109" s="42">
        <v>0.196608</v>
      </c>
      <c r="B109" s="42">
        <v>1.2129300000000001</v>
      </c>
      <c r="E109" s="2">
        <f t="shared" si="3"/>
        <v>1.2115686624889128</v>
      </c>
      <c r="F109">
        <f t="shared" si="2"/>
        <v>1.3613375110872461E-3</v>
      </c>
      <c r="H109" s="1"/>
    </row>
    <row r="110" spans="1:8" x14ac:dyDescent="0.25">
      <c r="A110" s="42">
        <v>0.21299199999999999</v>
      </c>
      <c r="B110" s="42">
        <v>1.20997</v>
      </c>
      <c r="E110" s="2">
        <f t="shared" si="3"/>
        <v>1.2091780652415771</v>
      </c>
      <c r="F110">
        <f t="shared" si="2"/>
        <v>7.919347584228742E-4</v>
      </c>
      <c r="H110" s="1"/>
    </row>
    <row r="111" spans="1:8" x14ac:dyDescent="0.25">
      <c r="A111" s="42">
        <v>0.229376</v>
      </c>
      <c r="B111" s="42">
        <v>1.2072499999999999</v>
      </c>
      <c r="E111" s="2">
        <f t="shared" si="3"/>
        <v>1.2068975470675829</v>
      </c>
      <c r="F111">
        <f t="shared" si="2"/>
        <v>3.5245293241703557E-4</v>
      </c>
      <c r="H111" s="1"/>
    </row>
    <row r="112" spans="1:8" x14ac:dyDescent="0.25">
      <c r="A112" s="42">
        <v>0.24576000000000001</v>
      </c>
      <c r="B112" s="42">
        <v>1.2048300000000001</v>
      </c>
      <c r="E112" s="2">
        <f t="shared" si="3"/>
        <v>1.20470919011366</v>
      </c>
      <c r="F112">
        <f t="shared" si="2"/>
        <v>1.2080988634011192E-4</v>
      </c>
      <c r="H112" s="1"/>
    </row>
    <row r="113" spans="1:8" x14ac:dyDescent="0.25">
      <c r="A113" s="42">
        <v>0.26214399999999999</v>
      </c>
      <c r="B113" s="42">
        <v>1.2022699999999999</v>
      </c>
      <c r="E113" s="2">
        <f t="shared" si="3"/>
        <v>1.2025992093834317</v>
      </c>
      <c r="F113">
        <f t="shared" si="2"/>
        <v>-3.2920938343172779E-4</v>
      </c>
      <c r="H113" s="1"/>
    </row>
    <row r="114" spans="1:8" x14ac:dyDescent="0.25">
      <c r="A114" s="42">
        <v>0.29491200000000001</v>
      </c>
      <c r="B114" s="42">
        <v>1.19764</v>
      </c>
      <c r="E114" s="2">
        <f t="shared" si="3"/>
        <v>1.1985741257546911</v>
      </c>
      <c r="F114">
        <f t="shared" si="2"/>
        <v>-9.3412575469109527E-4</v>
      </c>
      <c r="H114" s="1"/>
    </row>
    <row r="115" spans="1:8" x14ac:dyDescent="0.25">
      <c r="A115" s="42">
        <v>0.32768000000000003</v>
      </c>
      <c r="B115" s="42">
        <v>1.1933400000000001</v>
      </c>
      <c r="E115" s="2">
        <f t="shared" si="3"/>
        <v>1.1947622177743529</v>
      </c>
      <c r="F115">
        <f t="shared" si="2"/>
        <v>-1.4222177743528075E-3</v>
      </c>
      <c r="H115" s="1"/>
    </row>
    <row r="116" spans="1:8" x14ac:dyDescent="0.25">
      <c r="A116" s="42">
        <v>0.36044799999999999</v>
      </c>
      <c r="B116" s="42">
        <v>1.18963</v>
      </c>
      <c r="E116" s="2">
        <f t="shared" si="3"/>
        <v>1.1911261339347325</v>
      </c>
      <c r="F116">
        <f t="shared" si="2"/>
        <v>-1.4961339347325797E-3</v>
      </c>
      <c r="H116" s="1"/>
    </row>
    <row r="117" spans="1:8" x14ac:dyDescent="0.25">
      <c r="A117" s="42">
        <v>0.39321600000000001</v>
      </c>
      <c r="B117" s="42">
        <v>1.18557</v>
      </c>
      <c r="E117" s="2">
        <f t="shared" si="3"/>
        <v>1.1876417022183885</v>
      </c>
      <c r="F117">
        <f t="shared" si="2"/>
        <v>-2.0717022183884826E-3</v>
      </c>
      <c r="H117" s="1"/>
    </row>
    <row r="118" spans="1:8" x14ac:dyDescent="0.25">
      <c r="A118" s="42">
        <v>0.42598399999999997</v>
      </c>
      <c r="B118" s="42">
        <v>1.18224</v>
      </c>
      <c r="E118" s="2">
        <f t="shared" si="3"/>
        <v>1.1842924683957197</v>
      </c>
      <c r="F118">
        <f t="shared" si="2"/>
        <v>-2.0524683957197087E-3</v>
      </c>
      <c r="H118" s="1"/>
    </row>
    <row r="119" spans="1:8" x14ac:dyDescent="0.25">
      <c r="A119" s="42">
        <v>0.45875199999999999</v>
      </c>
      <c r="B119" s="42">
        <v>1.1787000000000001</v>
      </c>
      <c r="E119" s="2">
        <f t="shared" si="3"/>
        <v>1.1810665640844284</v>
      </c>
      <c r="F119">
        <f t="shared" si="2"/>
        <v>-2.3665640844283686E-3</v>
      </c>
      <c r="H119" s="1"/>
    </row>
    <row r="120" spans="1:8" x14ac:dyDescent="0.25">
      <c r="A120" s="42">
        <v>0.49152000000000001</v>
      </c>
      <c r="B120" s="42">
        <v>1.1754800000000001</v>
      </c>
      <c r="E120" s="2">
        <f t="shared" si="3"/>
        <v>1.1779549045538391</v>
      </c>
      <c r="F120">
        <f t="shared" si="2"/>
        <v>-2.4749045538390302E-3</v>
      </c>
      <c r="H120" s="1"/>
    </row>
    <row r="121" spans="1:8" x14ac:dyDescent="0.25">
      <c r="A121" s="42">
        <v>0.52428799999999998</v>
      </c>
      <c r="B121" s="42">
        <v>1.17248</v>
      </c>
      <c r="E121" s="2">
        <f t="shared" si="3"/>
        <v>1.174950146388789</v>
      </c>
      <c r="F121">
        <f t="shared" si="2"/>
        <v>-2.4701463887890629E-3</v>
      </c>
      <c r="H121" s="1"/>
    </row>
    <row r="122" spans="1:8" x14ac:dyDescent="0.25">
      <c r="A122" s="42">
        <v>0.58982400000000001</v>
      </c>
      <c r="B122" s="42">
        <v>1.1666799999999999</v>
      </c>
      <c r="E122" s="2">
        <f t="shared" si="3"/>
        <v>1.1692372716864248</v>
      </c>
      <c r="F122">
        <f t="shared" si="2"/>
        <v>-2.5572716864248335E-3</v>
      </c>
      <c r="H122" s="1"/>
    </row>
    <row r="123" spans="1:8" x14ac:dyDescent="0.25">
      <c r="A123" s="42">
        <v>0.65536000000000005</v>
      </c>
      <c r="B123" s="42">
        <v>1.16137</v>
      </c>
      <c r="E123" s="2">
        <f t="shared" si="3"/>
        <v>1.1638863681488782</v>
      </c>
      <c r="F123">
        <f t="shared" si="2"/>
        <v>-2.5163681488782341E-3</v>
      </c>
      <c r="H123" s="1"/>
    </row>
    <row r="124" spans="1:8" x14ac:dyDescent="0.25">
      <c r="A124" s="42">
        <v>0.72089599999999998</v>
      </c>
      <c r="B124" s="42">
        <v>1.1563000000000001</v>
      </c>
      <c r="E124" s="2">
        <f t="shared" si="3"/>
        <v>1.1588631354411918</v>
      </c>
      <c r="F124">
        <f t="shared" si="2"/>
        <v>-2.5631354411916885E-3</v>
      </c>
      <c r="H124" s="1"/>
    </row>
    <row r="125" spans="1:8" x14ac:dyDescent="0.25">
      <c r="A125" s="42">
        <v>0.78643200000000002</v>
      </c>
      <c r="B125" s="42">
        <v>1.1519999999999999</v>
      </c>
      <c r="E125" s="2">
        <f t="shared" si="3"/>
        <v>1.1541380630931373</v>
      </c>
      <c r="F125">
        <f t="shared" si="2"/>
        <v>-2.1380630931373545E-3</v>
      </c>
      <c r="H125" s="1"/>
    </row>
    <row r="126" spans="1:8" x14ac:dyDescent="0.25">
      <c r="A126" s="42">
        <v>0.85196799999999995</v>
      </c>
      <c r="B126" s="42">
        <v>1.1477299999999999</v>
      </c>
      <c r="E126" s="2">
        <f t="shared" si="3"/>
        <v>1.1496852775238526</v>
      </c>
      <c r="F126">
        <f t="shared" si="2"/>
        <v>-1.9552775238527165E-3</v>
      </c>
      <c r="H126" s="1"/>
    </row>
    <row r="127" spans="1:8" x14ac:dyDescent="0.25">
      <c r="A127" s="42">
        <v>0.91750399999999999</v>
      </c>
      <c r="B127" s="42">
        <v>1.1438900000000001</v>
      </c>
      <c r="E127" s="2">
        <f t="shared" si="3"/>
        <v>1.1454818800360669</v>
      </c>
      <c r="F127">
        <f t="shared" si="2"/>
        <v>-1.5918800360668062E-3</v>
      </c>
      <c r="H127" s="1"/>
    </row>
    <row r="128" spans="1:8" x14ac:dyDescent="0.25">
      <c r="A128" s="42">
        <v>0.98304000000000002</v>
      </c>
      <c r="B128" s="42">
        <v>1.1402300000000001</v>
      </c>
      <c r="E128" s="2">
        <f t="shared" si="3"/>
        <v>1.1415074912765257</v>
      </c>
      <c r="F128">
        <f t="shared" si="2"/>
        <v>-1.2774912765256552E-3</v>
      </c>
      <c r="H128" s="1"/>
    </row>
    <row r="129" spans="1:8" x14ac:dyDescent="0.25">
      <c r="A129" s="42">
        <v>1.048576</v>
      </c>
      <c r="B129" s="42">
        <v>1.13676</v>
      </c>
      <c r="E129" s="2">
        <f t="shared" si="3"/>
        <v>1.137743900671137</v>
      </c>
      <c r="F129">
        <f t="shared" si="2"/>
        <v>-9.8390067113696134E-4</v>
      </c>
      <c r="H129" s="1"/>
    </row>
    <row r="130" spans="1:8" x14ac:dyDescent="0.25">
      <c r="A130" s="42">
        <v>1.179648</v>
      </c>
      <c r="B130" s="42">
        <v>1.1301699999999999</v>
      </c>
      <c r="E130" s="2">
        <f t="shared" si="3"/>
        <v>1.130785449276567</v>
      </c>
      <c r="F130">
        <f t="shared" ref="F130:F193" si="4">B130-E130</f>
        <v>-6.154492765670927E-4</v>
      </c>
      <c r="H130" s="1"/>
    </row>
    <row r="131" spans="1:8" x14ac:dyDescent="0.25">
      <c r="A131" s="42">
        <v>1.3107200000000001</v>
      </c>
      <c r="B131" s="42">
        <v>1.12419</v>
      </c>
      <c r="E131" s="2">
        <f t="shared" ref="E131:E194" si="5">$D$2+1/$D$3*($D$8/(1+A131/$D$4)/SQRT(1+A131/$D$4/$D$5/$D$5)+(1-$D$8)/(1+A131/$D$6)/SQRT(1+A131/$D$6/$D$7/$D$7))*(1+$D$9*EXP(-A131/$D$10)+$D$11*EXP(-A131/$D$12))</f>
        <v>1.1244944561770702</v>
      </c>
      <c r="F131">
        <f t="shared" si="4"/>
        <v>-3.0445617707020034E-4</v>
      </c>
      <c r="H131" s="1"/>
    </row>
    <row r="132" spans="1:8" x14ac:dyDescent="0.25">
      <c r="A132" s="42">
        <v>1.441792</v>
      </c>
      <c r="B132" s="42">
        <v>1.1187800000000001</v>
      </c>
      <c r="E132" s="2">
        <f t="shared" si="5"/>
        <v>1.1187793533206269</v>
      </c>
      <c r="F132">
        <f t="shared" si="4"/>
        <v>6.4667937316187363E-7</v>
      </c>
      <c r="H132" s="1"/>
    </row>
    <row r="133" spans="1:8" x14ac:dyDescent="0.25">
      <c r="A133" s="42">
        <v>1.572864</v>
      </c>
      <c r="B133" s="42">
        <v>1.11374</v>
      </c>
      <c r="E133" s="2">
        <f t="shared" si="5"/>
        <v>1.1135645894311677</v>
      </c>
      <c r="F133">
        <f t="shared" si="4"/>
        <v>1.7541056883230155E-4</v>
      </c>
      <c r="H133" s="1"/>
    </row>
    <row r="134" spans="1:8" x14ac:dyDescent="0.25">
      <c r="A134" s="42">
        <v>1.7039359999999999</v>
      </c>
      <c r="B134" s="42">
        <v>1.1091599999999999</v>
      </c>
      <c r="E134" s="2">
        <f t="shared" si="5"/>
        <v>1.1087872745383178</v>
      </c>
      <c r="F134">
        <f t="shared" si="4"/>
        <v>3.7272546168209963E-4</v>
      </c>
      <c r="H134" s="1"/>
    </row>
    <row r="135" spans="1:8" x14ac:dyDescent="0.25">
      <c r="A135" s="42">
        <v>1.835008</v>
      </c>
      <c r="B135" s="42">
        <v>1.1052599999999999</v>
      </c>
      <c r="E135" s="2">
        <f t="shared" si="5"/>
        <v>1.1043946342984794</v>
      </c>
      <c r="F135">
        <f t="shared" si="4"/>
        <v>8.6536570152051517E-4</v>
      </c>
      <c r="H135" s="1"/>
    </row>
    <row r="136" spans="1:8" x14ac:dyDescent="0.25">
      <c r="A136" s="42">
        <v>1.96608</v>
      </c>
      <c r="B136" s="42">
        <v>1.10162</v>
      </c>
      <c r="E136" s="2">
        <f t="shared" si="5"/>
        <v>1.1003420547907798</v>
      </c>
      <c r="F136">
        <f t="shared" si="4"/>
        <v>1.2779452092201993E-3</v>
      </c>
      <c r="H136" s="1"/>
    </row>
    <row r="137" spans="1:8" x14ac:dyDescent="0.25">
      <c r="A137" s="42">
        <v>2.0971519999999999</v>
      </c>
      <c r="B137" s="42">
        <v>1.0979300000000001</v>
      </c>
      <c r="E137" s="2">
        <f t="shared" si="5"/>
        <v>1.0965915639317942</v>
      </c>
      <c r="F137">
        <f t="shared" si="4"/>
        <v>1.3384360682058283E-3</v>
      </c>
      <c r="H137" s="1"/>
    </row>
    <row r="138" spans="1:8" x14ac:dyDescent="0.25">
      <c r="A138" s="42">
        <v>2.3592960000000001</v>
      </c>
      <c r="B138" s="42">
        <v>1.0912900000000001</v>
      </c>
      <c r="E138" s="2">
        <f t="shared" si="5"/>
        <v>1.0898712668512154</v>
      </c>
      <c r="F138">
        <f t="shared" si="4"/>
        <v>1.4187331487847121E-3</v>
      </c>
      <c r="H138" s="1"/>
    </row>
    <row r="139" spans="1:8" x14ac:dyDescent="0.25">
      <c r="A139" s="42">
        <v>2.6214400000000002</v>
      </c>
      <c r="B139" s="42">
        <v>1.08579</v>
      </c>
      <c r="E139" s="2">
        <f t="shared" si="5"/>
        <v>1.0840232632882538</v>
      </c>
      <c r="F139">
        <f t="shared" si="4"/>
        <v>1.7667367117462085E-3</v>
      </c>
      <c r="H139" s="1"/>
    </row>
    <row r="140" spans="1:8" x14ac:dyDescent="0.25">
      <c r="A140" s="42">
        <v>2.8835839999999999</v>
      </c>
      <c r="B140" s="42">
        <v>1.0808199999999999</v>
      </c>
      <c r="E140" s="2">
        <f t="shared" si="5"/>
        <v>1.0788883032809875</v>
      </c>
      <c r="F140">
        <f t="shared" si="4"/>
        <v>1.9316967190123879E-3</v>
      </c>
      <c r="H140" s="1"/>
    </row>
    <row r="141" spans="1:8" x14ac:dyDescent="0.25">
      <c r="A141" s="42">
        <v>3.1457280000000001</v>
      </c>
      <c r="B141" s="42">
        <v>1.0762400000000001</v>
      </c>
      <c r="E141" s="2">
        <f t="shared" si="5"/>
        <v>1.0743436743855215</v>
      </c>
      <c r="F141">
        <f t="shared" si="4"/>
        <v>1.8963256144786111E-3</v>
      </c>
      <c r="H141" s="1"/>
    </row>
    <row r="142" spans="1:8" x14ac:dyDescent="0.25">
      <c r="A142" s="42">
        <v>3.4078719999999998</v>
      </c>
      <c r="B142" s="42">
        <v>1.0719099999999999</v>
      </c>
      <c r="E142" s="2">
        <f t="shared" si="5"/>
        <v>1.0702932914480181</v>
      </c>
      <c r="F142">
        <f t="shared" si="4"/>
        <v>1.6167085519818158E-3</v>
      </c>
      <c r="H142" s="1"/>
    </row>
    <row r="143" spans="1:8" x14ac:dyDescent="0.25">
      <c r="A143" s="42">
        <v>3.6700159999999999</v>
      </c>
      <c r="B143" s="42">
        <v>1.0680799999999999</v>
      </c>
      <c r="E143" s="2">
        <f t="shared" si="5"/>
        <v>1.0666608459930569</v>
      </c>
      <c r="F143">
        <f t="shared" si="4"/>
        <v>1.4191540069430353E-3</v>
      </c>
      <c r="H143" s="1"/>
    </row>
    <row r="144" spans="1:8" x14ac:dyDescent="0.25">
      <c r="A144" s="42">
        <v>3.9321600000000001</v>
      </c>
      <c r="B144" s="42">
        <v>1.06515</v>
      </c>
      <c r="E144" s="2">
        <f t="shared" si="5"/>
        <v>1.0633849671200337</v>
      </c>
      <c r="F144">
        <f t="shared" si="4"/>
        <v>1.7650328799663217E-3</v>
      </c>
      <c r="H144" s="1"/>
    </row>
    <row r="145" spans="1:8" x14ac:dyDescent="0.25">
      <c r="A145" s="42">
        <v>4.1943039999999998</v>
      </c>
      <c r="B145" s="42">
        <v>1.0621499999999999</v>
      </c>
      <c r="E145" s="2">
        <f t="shared" si="5"/>
        <v>1.0604157369892684</v>
      </c>
      <c r="F145">
        <f t="shared" si="4"/>
        <v>1.7342630107315404E-3</v>
      </c>
      <c r="H145" s="1"/>
    </row>
    <row r="146" spans="1:8" x14ac:dyDescent="0.25">
      <c r="A146" s="42">
        <v>4.7185920000000001</v>
      </c>
      <c r="B146" s="42">
        <v>1.0569500000000001</v>
      </c>
      <c r="E146" s="2">
        <f t="shared" si="5"/>
        <v>1.0552401549307548</v>
      </c>
      <c r="F146">
        <f t="shared" si="4"/>
        <v>1.7098450692452083E-3</v>
      </c>
      <c r="H146" s="1"/>
    </row>
    <row r="147" spans="1:8" x14ac:dyDescent="0.25">
      <c r="A147" s="42">
        <v>5.2428800000000004</v>
      </c>
      <c r="B147" s="42">
        <v>1.0527</v>
      </c>
      <c r="E147" s="2">
        <f t="shared" si="5"/>
        <v>1.0508817198669034</v>
      </c>
      <c r="F147">
        <f t="shared" si="4"/>
        <v>1.8182801330965948E-3</v>
      </c>
      <c r="H147" s="1"/>
    </row>
    <row r="148" spans="1:8" x14ac:dyDescent="0.25">
      <c r="A148" s="42">
        <v>5.7671679999999999</v>
      </c>
      <c r="B148" s="42">
        <v>1.04898</v>
      </c>
      <c r="E148" s="2">
        <f t="shared" si="5"/>
        <v>1.047161649687292</v>
      </c>
      <c r="F148">
        <f t="shared" si="4"/>
        <v>1.8183503127080503E-3</v>
      </c>
      <c r="H148" s="1"/>
    </row>
    <row r="149" spans="1:8" x14ac:dyDescent="0.25">
      <c r="A149" s="42">
        <v>6.2914560000000002</v>
      </c>
      <c r="B149" s="42">
        <v>1.04566</v>
      </c>
      <c r="E149" s="2">
        <f t="shared" si="5"/>
        <v>1.0439497558904474</v>
      </c>
      <c r="F149">
        <f t="shared" si="4"/>
        <v>1.7102441095526721E-3</v>
      </c>
      <c r="H149" s="1"/>
    </row>
    <row r="150" spans="1:8" x14ac:dyDescent="0.25">
      <c r="A150" s="42">
        <v>6.8157439999999996</v>
      </c>
      <c r="B150" s="42">
        <v>1.0426</v>
      </c>
      <c r="E150" s="2">
        <f t="shared" si="5"/>
        <v>1.0411489846999602</v>
      </c>
      <c r="F150">
        <f t="shared" si="4"/>
        <v>1.4510153000397708E-3</v>
      </c>
      <c r="H150" s="1"/>
    </row>
    <row r="151" spans="1:8" x14ac:dyDescent="0.25">
      <c r="A151" s="42">
        <v>7.3400319999999999</v>
      </c>
      <c r="B151" s="42">
        <v>1.0400100000000001</v>
      </c>
      <c r="E151" s="2">
        <f t="shared" si="5"/>
        <v>1.0386855065834406</v>
      </c>
      <c r="F151">
        <f t="shared" si="4"/>
        <v>1.3244934165594913E-3</v>
      </c>
      <c r="H151" s="1"/>
    </row>
    <row r="152" spans="1:8" x14ac:dyDescent="0.25">
      <c r="A152" s="42">
        <v>7.8643200000000002</v>
      </c>
      <c r="B152" s="42">
        <v>1.03728</v>
      </c>
      <c r="E152" s="2">
        <f t="shared" si="5"/>
        <v>1.0365021620118977</v>
      </c>
      <c r="F152">
        <f t="shared" si="4"/>
        <v>7.7783798810227012E-4</v>
      </c>
      <c r="H152" s="1"/>
    </row>
    <row r="153" spans="1:8" x14ac:dyDescent="0.25">
      <c r="A153" s="42">
        <v>8.3886079999999996</v>
      </c>
      <c r="B153" s="42">
        <v>1.03488</v>
      </c>
      <c r="E153" s="2">
        <f t="shared" si="5"/>
        <v>1.0345540082624027</v>
      </c>
      <c r="F153">
        <f t="shared" si="4"/>
        <v>3.259917375972865E-4</v>
      </c>
      <c r="H153" s="1"/>
    </row>
    <row r="154" spans="1:8" x14ac:dyDescent="0.25">
      <c r="A154" s="42">
        <v>9.4371840000000002</v>
      </c>
      <c r="B154" s="42">
        <v>1.0313099999999999</v>
      </c>
      <c r="E154" s="2">
        <f t="shared" si="5"/>
        <v>1.0312268952035437</v>
      </c>
      <c r="F154">
        <f t="shared" si="4"/>
        <v>8.3104796456234808E-5</v>
      </c>
      <c r="H154" s="1"/>
    </row>
    <row r="155" spans="1:8" x14ac:dyDescent="0.25">
      <c r="A155" s="42">
        <v>10.485760000000001</v>
      </c>
      <c r="B155" s="42">
        <v>1.0282100000000001</v>
      </c>
      <c r="E155" s="2">
        <f t="shared" si="5"/>
        <v>1.0284914545719783</v>
      </c>
      <c r="F155">
        <f t="shared" si="4"/>
        <v>-2.8145457197825685E-4</v>
      </c>
      <c r="H155" s="1"/>
    </row>
    <row r="156" spans="1:8" x14ac:dyDescent="0.25">
      <c r="A156" s="42">
        <v>11.534336</v>
      </c>
      <c r="B156" s="42">
        <v>1.0258499999999999</v>
      </c>
      <c r="E156" s="2">
        <f t="shared" si="5"/>
        <v>1.026203834689124</v>
      </c>
      <c r="F156">
        <f t="shared" si="4"/>
        <v>-3.5383468912408844E-4</v>
      </c>
      <c r="H156" s="1"/>
    </row>
    <row r="157" spans="1:8" x14ac:dyDescent="0.25">
      <c r="A157" s="42">
        <v>12.582912</v>
      </c>
      <c r="B157" s="42">
        <v>1.0239199999999999</v>
      </c>
      <c r="E157" s="2">
        <f t="shared" si="5"/>
        <v>1.0242632699062404</v>
      </c>
      <c r="F157">
        <f t="shared" si="4"/>
        <v>-3.4326990624045095E-4</v>
      </c>
      <c r="H157" s="1"/>
    </row>
    <row r="158" spans="1:8" x14ac:dyDescent="0.25">
      <c r="A158" s="42">
        <v>13.631487999999999</v>
      </c>
      <c r="B158" s="42">
        <v>1.0220899999999999</v>
      </c>
      <c r="E158" s="2">
        <f t="shared" si="5"/>
        <v>1.0225970761865268</v>
      </c>
      <c r="F158">
        <f t="shared" si="4"/>
        <v>-5.0707618652690023E-4</v>
      </c>
      <c r="H158" s="1"/>
    </row>
    <row r="159" spans="1:8" x14ac:dyDescent="0.25">
      <c r="A159" s="42">
        <v>14.680064</v>
      </c>
      <c r="B159" s="42">
        <v>1.0205</v>
      </c>
      <c r="E159" s="2">
        <f t="shared" si="5"/>
        <v>1.0211515084030987</v>
      </c>
      <c r="F159">
        <f t="shared" si="4"/>
        <v>-6.515084030986884E-4</v>
      </c>
      <c r="H159" s="1"/>
    </row>
    <row r="160" spans="1:8" x14ac:dyDescent="0.25">
      <c r="A160" s="42">
        <v>15.72864</v>
      </c>
      <c r="B160" s="42">
        <v>1.0188999999999999</v>
      </c>
      <c r="E160" s="2">
        <f t="shared" si="5"/>
        <v>1.0198859710571251</v>
      </c>
      <c r="F160">
        <f t="shared" si="4"/>
        <v>-9.8597105712516786E-4</v>
      </c>
      <c r="H160" s="1"/>
    </row>
    <row r="161" spans="1:8" x14ac:dyDescent="0.25">
      <c r="A161" s="42">
        <v>16.777215999999999</v>
      </c>
      <c r="B161" s="42">
        <v>1.0173399999999999</v>
      </c>
      <c r="E161" s="2">
        <f t="shared" si="5"/>
        <v>1.0187692301133626</v>
      </c>
      <c r="F161">
        <f t="shared" si="4"/>
        <v>-1.4292301133627117E-3</v>
      </c>
      <c r="H161" s="1"/>
    </row>
    <row r="162" spans="1:8" x14ac:dyDescent="0.25">
      <c r="A162" s="42">
        <v>18.874368</v>
      </c>
      <c r="B162" s="42">
        <v>1.01488</v>
      </c>
      <c r="E162" s="2">
        <f t="shared" si="5"/>
        <v>1.0168894986253472</v>
      </c>
      <c r="F162">
        <f t="shared" si="4"/>
        <v>-2.0094986253471614E-3</v>
      </c>
      <c r="H162" s="1"/>
    </row>
    <row r="163" spans="1:8" x14ac:dyDescent="0.25">
      <c r="A163" s="42">
        <v>20.971520000000002</v>
      </c>
      <c r="B163" s="42">
        <v>1.0125999999999999</v>
      </c>
      <c r="E163" s="2">
        <f t="shared" si="5"/>
        <v>1.0153704561692363</v>
      </c>
      <c r="F163">
        <f t="shared" si="4"/>
        <v>-2.7704561692363239E-3</v>
      </c>
      <c r="H163" s="1"/>
    </row>
    <row r="164" spans="1:8" x14ac:dyDescent="0.25">
      <c r="A164" s="42">
        <v>23.068671999999999</v>
      </c>
      <c r="B164" s="42">
        <v>1.01101</v>
      </c>
      <c r="E164" s="2">
        <f t="shared" si="5"/>
        <v>1.0141188915966055</v>
      </c>
      <c r="F164">
        <f t="shared" si="4"/>
        <v>-3.1088915966055453E-3</v>
      </c>
      <c r="H164" s="1"/>
    </row>
    <row r="165" spans="1:8" x14ac:dyDescent="0.25">
      <c r="A165" s="42">
        <v>25.165824000000001</v>
      </c>
      <c r="B165" s="42">
        <v>1.01139</v>
      </c>
      <c r="E165" s="2">
        <f t="shared" si="5"/>
        <v>1.0130710497416657</v>
      </c>
      <c r="F165">
        <f t="shared" si="4"/>
        <v>-1.6810497416657189E-3</v>
      </c>
      <c r="H165" s="1"/>
    </row>
    <row r="166" spans="1:8" x14ac:dyDescent="0.25">
      <c r="A166" s="42">
        <v>27.262975999999998</v>
      </c>
      <c r="B166" s="42">
        <v>1.0112300000000001</v>
      </c>
      <c r="E166" s="2">
        <f t="shared" si="5"/>
        <v>1.012181859149369</v>
      </c>
      <c r="F166">
        <f t="shared" si="4"/>
        <v>-9.5185914936890548E-4</v>
      </c>
      <c r="H166" s="1"/>
    </row>
    <row r="167" spans="1:8" x14ac:dyDescent="0.25">
      <c r="A167" s="42">
        <v>29.360128</v>
      </c>
      <c r="B167" s="42">
        <v>1.01064</v>
      </c>
      <c r="E167" s="2">
        <f t="shared" si="5"/>
        <v>1.0114185636111364</v>
      </c>
      <c r="F167">
        <f t="shared" si="4"/>
        <v>-7.7856361113637362E-4</v>
      </c>
      <c r="H167" s="1"/>
    </row>
    <row r="168" spans="1:8" x14ac:dyDescent="0.25">
      <c r="A168" s="42">
        <v>31.457280000000001</v>
      </c>
      <c r="B168" s="42">
        <v>1.0106900000000001</v>
      </c>
      <c r="E168" s="2">
        <f t="shared" si="5"/>
        <v>1.0107567913151003</v>
      </c>
      <c r="F168">
        <f t="shared" si="4"/>
        <v>-6.6791315100234172E-5</v>
      </c>
      <c r="H168" s="1"/>
    </row>
    <row r="169" spans="1:8" x14ac:dyDescent="0.25">
      <c r="A169" s="42">
        <v>33.554431999999998</v>
      </c>
      <c r="B169" s="42">
        <v>1.0105900000000001</v>
      </c>
      <c r="E169" s="2">
        <f t="shared" si="5"/>
        <v>1.0101780384972612</v>
      </c>
      <c r="F169">
        <f t="shared" si="4"/>
        <v>4.1196150273892229E-4</v>
      </c>
      <c r="H169" s="1"/>
    </row>
    <row r="170" spans="1:8" x14ac:dyDescent="0.25">
      <c r="A170" s="42">
        <v>37.748736000000001</v>
      </c>
      <c r="B170" s="42">
        <v>1.0093099999999999</v>
      </c>
      <c r="E170" s="2">
        <f t="shared" si="5"/>
        <v>1.0092154787427527</v>
      </c>
      <c r="F170">
        <f t="shared" si="4"/>
        <v>9.4521257247182078E-5</v>
      </c>
      <c r="H170" s="1"/>
    </row>
    <row r="171" spans="1:8" x14ac:dyDescent="0.25">
      <c r="A171" s="42">
        <v>41.943040000000003</v>
      </c>
      <c r="B171" s="42">
        <v>1.0092000000000001</v>
      </c>
      <c r="E171" s="2">
        <f t="shared" si="5"/>
        <v>1.0084489667418592</v>
      </c>
      <c r="F171">
        <f t="shared" si="4"/>
        <v>7.5103325814085409E-4</v>
      </c>
      <c r="H171" s="1"/>
    </row>
    <row r="172" spans="1:8" x14ac:dyDescent="0.25">
      <c r="A172" s="42">
        <v>46.137343999999999</v>
      </c>
      <c r="B172" s="42">
        <v>1.00807</v>
      </c>
      <c r="E172" s="2">
        <f t="shared" si="5"/>
        <v>1.0078256571224105</v>
      </c>
      <c r="F172">
        <f t="shared" si="4"/>
        <v>2.4434287758956508E-4</v>
      </c>
      <c r="H172" s="1"/>
    </row>
    <row r="173" spans="1:8" x14ac:dyDescent="0.25">
      <c r="A173" s="42">
        <v>50.331648000000001</v>
      </c>
      <c r="B173" s="42">
        <v>1.0069399999999999</v>
      </c>
      <c r="E173" s="2">
        <f t="shared" si="5"/>
        <v>1.0073099662998861</v>
      </c>
      <c r="F173">
        <f t="shared" si="4"/>
        <v>-3.699662998861708E-4</v>
      </c>
      <c r="H173" s="1"/>
    </row>
    <row r="174" spans="1:8" x14ac:dyDescent="0.25">
      <c r="A174" s="42">
        <v>54.525951999999997</v>
      </c>
      <c r="B174" s="42">
        <v>1.00708</v>
      </c>
      <c r="E174" s="2">
        <f t="shared" si="5"/>
        <v>1.0068770804252358</v>
      </c>
      <c r="F174">
        <f t="shared" si="4"/>
        <v>2.0291957476414879E-4</v>
      </c>
      <c r="H174" s="1"/>
    </row>
    <row r="175" spans="1:8" x14ac:dyDescent="0.25">
      <c r="A175" s="42">
        <v>58.720255999999999</v>
      </c>
      <c r="B175" s="42">
        <v>1.00671</v>
      </c>
      <c r="E175" s="2">
        <f t="shared" si="5"/>
        <v>1.0065091840674494</v>
      </c>
      <c r="F175">
        <f t="shared" si="4"/>
        <v>2.0081593255061314E-4</v>
      </c>
      <c r="H175" s="1"/>
    </row>
    <row r="176" spans="1:8" x14ac:dyDescent="0.25">
      <c r="A176" s="42">
        <v>62.914560000000002</v>
      </c>
      <c r="B176" s="42">
        <v>1.00746</v>
      </c>
      <c r="E176" s="2">
        <f t="shared" si="5"/>
        <v>1.0061931670913127</v>
      </c>
      <c r="F176">
        <f t="shared" si="4"/>
        <v>1.2668329086873431E-3</v>
      </c>
      <c r="H176" s="1"/>
    </row>
    <row r="177" spans="1:8" x14ac:dyDescent="0.25">
      <c r="A177" s="42">
        <v>67.108863999999997</v>
      </c>
      <c r="B177" s="42">
        <v>1.00702</v>
      </c>
      <c r="E177" s="2">
        <f t="shared" si="5"/>
        <v>1.005919175792513</v>
      </c>
      <c r="F177">
        <f t="shared" si="4"/>
        <v>1.1008242074870278E-3</v>
      </c>
      <c r="H177" s="1"/>
    </row>
    <row r="178" spans="1:8" x14ac:dyDescent="0.25">
      <c r="A178" s="42">
        <v>75.497472000000002</v>
      </c>
      <c r="B178" s="42">
        <v>1.0043</v>
      </c>
      <c r="E178" s="2">
        <f t="shared" si="5"/>
        <v>1.0054687728126173</v>
      </c>
      <c r="F178">
        <f t="shared" si="4"/>
        <v>-1.1687728126172914E-3</v>
      </c>
      <c r="H178" s="1"/>
    </row>
    <row r="179" spans="1:8" x14ac:dyDescent="0.25">
      <c r="A179" s="42">
        <v>83.886080000000007</v>
      </c>
      <c r="B179" s="42">
        <v>1.0039800000000001</v>
      </c>
      <c r="E179" s="2">
        <f t="shared" si="5"/>
        <v>1.0051152392135585</v>
      </c>
      <c r="F179">
        <f t="shared" si="4"/>
        <v>-1.1352392135584033E-3</v>
      </c>
      <c r="H179" s="1"/>
    </row>
    <row r="180" spans="1:8" x14ac:dyDescent="0.25">
      <c r="A180" s="42">
        <v>92.274687999999998</v>
      </c>
      <c r="B180" s="42">
        <v>1.0042</v>
      </c>
      <c r="E180" s="2">
        <f t="shared" si="5"/>
        <v>1.0048314371235176</v>
      </c>
      <c r="F180">
        <f t="shared" si="4"/>
        <v>-6.3143712351765302E-4</v>
      </c>
      <c r="H180" s="1"/>
    </row>
    <row r="181" spans="1:8" x14ac:dyDescent="0.25">
      <c r="A181" s="42">
        <v>100.663296</v>
      </c>
      <c r="B181" s="42">
        <v>1.00525</v>
      </c>
      <c r="E181" s="2">
        <f t="shared" si="5"/>
        <v>1.0045993501568651</v>
      </c>
      <c r="F181">
        <f t="shared" si="4"/>
        <v>6.5064984313489838E-4</v>
      </c>
      <c r="H181" s="1"/>
    </row>
    <row r="182" spans="1:8" x14ac:dyDescent="0.25">
      <c r="A182" s="42">
        <v>109.05190399999999</v>
      </c>
      <c r="B182" s="42">
        <v>1.00502</v>
      </c>
      <c r="E182" s="2">
        <f t="shared" si="5"/>
        <v>1.0044065758571177</v>
      </c>
      <c r="F182">
        <f t="shared" si="4"/>
        <v>6.1342414288234615E-4</v>
      </c>
      <c r="H182" s="1"/>
    </row>
    <row r="183" spans="1:8" x14ac:dyDescent="0.25">
      <c r="A183" s="42">
        <v>117.440512</v>
      </c>
      <c r="B183" s="42">
        <v>1.0058400000000001</v>
      </c>
      <c r="E183" s="2">
        <f t="shared" si="5"/>
        <v>1.0042443148375004</v>
      </c>
      <c r="F183">
        <f t="shared" si="4"/>
        <v>1.5956851624996382E-3</v>
      </c>
      <c r="H183" s="1"/>
    </row>
    <row r="184" spans="1:8" x14ac:dyDescent="0.25">
      <c r="A184" s="42">
        <v>125.82912</v>
      </c>
      <c r="B184" s="42">
        <v>1.00467</v>
      </c>
      <c r="E184" s="2">
        <f t="shared" si="5"/>
        <v>1.004106162635569</v>
      </c>
      <c r="F184">
        <f t="shared" si="4"/>
        <v>5.6383736443099686E-4</v>
      </c>
      <c r="H184" s="1"/>
    </row>
    <row r="185" spans="1:8" x14ac:dyDescent="0.25">
      <c r="A185" s="42">
        <v>134.21772799999999</v>
      </c>
      <c r="B185" s="42">
        <v>1.0052099999999999</v>
      </c>
      <c r="E185" s="2">
        <f t="shared" si="5"/>
        <v>1.0039873547234117</v>
      </c>
      <c r="F185">
        <f t="shared" si="4"/>
        <v>1.222645276588219E-3</v>
      </c>
      <c r="H185" s="1"/>
    </row>
    <row r="186" spans="1:8" x14ac:dyDescent="0.25">
      <c r="A186" s="42">
        <v>150.994944</v>
      </c>
      <c r="B186" s="42">
        <v>1.00505</v>
      </c>
      <c r="E186" s="2">
        <f t="shared" si="5"/>
        <v>1.0037941493800802</v>
      </c>
      <c r="F186">
        <f t="shared" si="4"/>
        <v>1.2558506199198405E-3</v>
      </c>
      <c r="H186" s="1"/>
    </row>
    <row r="187" spans="1:8" x14ac:dyDescent="0.25">
      <c r="A187" s="42">
        <v>167.77216000000001</v>
      </c>
      <c r="B187" s="42">
        <v>1.0033000000000001</v>
      </c>
      <c r="E187" s="2">
        <f t="shared" si="5"/>
        <v>1.0036444679755692</v>
      </c>
      <c r="F187">
        <f t="shared" si="4"/>
        <v>-3.4446797556908493E-4</v>
      </c>
      <c r="H187" s="1"/>
    </row>
    <row r="188" spans="1:8" x14ac:dyDescent="0.25">
      <c r="A188" s="42">
        <v>184.549376</v>
      </c>
      <c r="B188" s="42">
        <v>1.00322</v>
      </c>
      <c r="E188" s="2">
        <f t="shared" si="5"/>
        <v>1.0035256722718977</v>
      </c>
      <c r="F188">
        <f t="shared" si="4"/>
        <v>-3.0567227189770563E-4</v>
      </c>
      <c r="H188" s="1"/>
    </row>
    <row r="189" spans="1:8" x14ac:dyDescent="0.25">
      <c r="A189" s="42">
        <v>201.32659200000001</v>
      </c>
      <c r="B189" s="42">
        <v>1.0016099999999999</v>
      </c>
      <c r="E189" s="2">
        <f t="shared" si="5"/>
        <v>1.0034294936662242</v>
      </c>
      <c r="F189">
        <f t="shared" si="4"/>
        <v>-1.8194936662243588E-3</v>
      </c>
      <c r="H189" s="1"/>
    </row>
    <row r="190" spans="1:8" x14ac:dyDescent="0.25">
      <c r="A190" s="42">
        <v>218.10380799999999</v>
      </c>
      <c r="B190" s="42">
        <v>1.00075</v>
      </c>
      <c r="E190" s="2">
        <f t="shared" si="5"/>
        <v>1.0033503143664562</v>
      </c>
      <c r="F190">
        <f t="shared" si="4"/>
        <v>-2.6003143664561357E-3</v>
      </c>
      <c r="H190" s="1"/>
    </row>
    <row r="191" spans="1:8" x14ac:dyDescent="0.25">
      <c r="A191" s="42">
        <v>234.881024</v>
      </c>
      <c r="B191" s="42">
        <v>1.0008900000000001</v>
      </c>
      <c r="E191" s="2">
        <f t="shared" si="5"/>
        <v>1.0032841957142309</v>
      </c>
      <c r="F191">
        <f t="shared" si="4"/>
        <v>-2.394195714230829E-3</v>
      </c>
      <c r="H191" s="1"/>
    </row>
    <row r="192" spans="1:8" x14ac:dyDescent="0.25">
      <c r="A192" s="42">
        <v>251.65824000000001</v>
      </c>
      <c r="B192" s="42">
        <v>1.00248</v>
      </c>
      <c r="E192" s="2">
        <f t="shared" si="5"/>
        <v>1.0032283018463362</v>
      </c>
      <c r="F192">
        <f t="shared" si="4"/>
        <v>-7.4830184633611907E-4</v>
      </c>
      <c r="H192" s="1"/>
    </row>
    <row r="193" spans="1:8" x14ac:dyDescent="0.25">
      <c r="A193" s="42">
        <v>268.43545599999999</v>
      </c>
      <c r="B193" s="42">
        <v>1.0025900000000001</v>
      </c>
      <c r="E193" s="2">
        <f t="shared" si="5"/>
        <v>1.0031805437728789</v>
      </c>
      <c r="F193">
        <f t="shared" si="4"/>
        <v>-5.9054377287881543E-4</v>
      </c>
      <c r="H193" s="1"/>
    </row>
    <row r="194" spans="1:8" x14ac:dyDescent="0.25">
      <c r="A194" s="42">
        <v>301.98988800000001</v>
      </c>
      <c r="B194" s="42">
        <v>1.00231</v>
      </c>
      <c r="E194" s="2">
        <f t="shared" si="5"/>
        <v>1.0031035261578207</v>
      </c>
      <c r="F194">
        <f t="shared" ref="F194:F238" si="6">B194-E194</f>
        <v>-7.935261578206898E-4</v>
      </c>
      <c r="H194" s="1"/>
    </row>
    <row r="195" spans="1:8" x14ac:dyDescent="0.25">
      <c r="A195" s="42">
        <v>335.54432000000003</v>
      </c>
      <c r="B195" s="42">
        <v>1.0037</v>
      </c>
      <c r="E195" s="2">
        <f t="shared" ref="E195:E238" si="7">$D$2+1/$D$3*($D$8/(1+A195/$D$4)/SQRT(1+A195/$D$4/$D$5/$D$5)+(1-$D$8)/(1+A195/$D$6)/SQRT(1+A195/$D$6/$D$7/$D$7))*(1+$D$9*EXP(-A195/$D$10)+$D$11*EXP(-A195/$D$12))</f>
        <v>1.0030444450103375</v>
      </c>
      <c r="F195">
        <f t="shared" si="6"/>
        <v>6.5555498966252124E-4</v>
      </c>
      <c r="H195" s="1"/>
    </row>
    <row r="196" spans="1:8" x14ac:dyDescent="0.25">
      <c r="A196" s="42">
        <v>369.09875199999999</v>
      </c>
      <c r="B196" s="42">
        <v>1.0030600000000001</v>
      </c>
      <c r="E196" s="2">
        <f t="shared" si="7"/>
        <v>1.002997945673255</v>
      </c>
      <c r="F196">
        <f t="shared" si="6"/>
        <v>6.2054326745109023E-5</v>
      </c>
      <c r="H196" s="1"/>
    </row>
    <row r="197" spans="1:8" x14ac:dyDescent="0.25">
      <c r="A197" s="42">
        <v>402.65318400000001</v>
      </c>
      <c r="B197" s="42">
        <v>1.0027699999999999</v>
      </c>
      <c r="E197" s="2">
        <f t="shared" si="7"/>
        <v>1.0029605686737106</v>
      </c>
      <c r="F197">
        <f t="shared" si="6"/>
        <v>-1.9056867371070041E-4</v>
      </c>
      <c r="H197" s="1"/>
    </row>
    <row r="198" spans="1:8" x14ac:dyDescent="0.25">
      <c r="A198" s="42">
        <v>436.20761599999997</v>
      </c>
      <c r="B198" s="42">
        <v>1.00302</v>
      </c>
      <c r="E198" s="2">
        <f t="shared" si="7"/>
        <v>1.0029299891995527</v>
      </c>
      <c r="F198">
        <f t="shared" si="6"/>
        <v>9.0010800447348771E-5</v>
      </c>
      <c r="H198" s="1"/>
    </row>
    <row r="199" spans="1:8" x14ac:dyDescent="0.25">
      <c r="A199" s="42">
        <v>469.76204799999999</v>
      </c>
      <c r="B199" s="42">
        <v>1.00241</v>
      </c>
      <c r="E199" s="2">
        <f t="shared" si="7"/>
        <v>1.0029045929081324</v>
      </c>
      <c r="F199">
        <f t="shared" si="6"/>
        <v>-4.9459290813236301E-4</v>
      </c>
      <c r="H199" s="1"/>
    </row>
    <row r="200" spans="1:8" x14ac:dyDescent="0.25">
      <c r="A200" s="42">
        <v>503.31648000000001</v>
      </c>
      <c r="B200" s="42">
        <v>1.0024999999999999</v>
      </c>
      <c r="E200" s="2">
        <f t="shared" si="7"/>
        <v>1.002883227306679</v>
      </c>
      <c r="F200">
        <f t="shared" si="6"/>
        <v>-3.8322730667905702E-4</v>
      </c>
      <c r="H200" s="1"/>
    </row>
    <row r="201" spans="1:8" x14ac:dyDescent="0.25">
      <c r="A201" s="42">
        <v>536.87091199999998</v>
      </c>
      <c r="B201" s="42">
        <v>1.0024900000000001</v>
      </c>
      <c r="E201" s="2">
        <f t="shared" si="7"/>
        <v>1.002865049843328</v>
      </c>
      <c r="F201">
        <f t="shared" si="6"/>
        <v>-3.7504984332792368E-4</v>
      </c>
      <c r="H201" s="1"/>
    </row>
    <row r="202" spans="1:8" x14ac:dyDescent="0.25">
      <c r="A202" s="42">
        <v>603.97977600000002</v>
      </c>
      <c r="B202" s="42">
        <v>1.00258</v>
      </c>
      <c r="E202" s="2">
        <f t="shared" si="7"/>
        <v>1.0028358952038321</v>
      </c>
      <c r="F202">
        <f t="shared" si="6"/>
        <v>-2.5589520383206832E-4</v>
      </c>
      <c r="H202" s="1"/>
    </row>
    <row r="203" spans="1:8" x14ac:dyDescent="0.25">
      <c r="A203" s="42">
        <v>671.08864000000005</v>
      </c>
      <c r="B203" s="42">
        <v>1.0025900000000001</v>
      </c>
      <c r="E203" s="2">
        <f t="shared" si="7"/>
        <v>1.0028136713681368</v>
      </c>
      <c r="F203">
        <f t="shared" si="6"/>
        <v>-2.2367136813672417E-4</v>
      </c>
      <c r="H203" s="1"/>
    </row>
    <row r="204" spans="1:8" x14ac:dyDescent="0.25">
      <c r="A204" s="42">
        <v>738.19750399999998</v>
      </c>
      <c r="B204" s="42">
        <v>1.00227</v>
      </c>
      <c r="E204" s="2">
        <f t="shared" si="7"/>
        <v>1.0027962718828356</v>
      </c>
      <c r="F204">
        <f t="shared" si="6"/>
        <v>-5.26271882835605E-4</v>
      </c>
      <c r="H204" s="1"/>
    </row>
    <row r="205" spans="1:8" x14ac:dyDescent="0.25">
      <c r="A205" s="42">
        <v>805.30636800000002</v>
      </c>
      <c r="B205" s="42">
        <v>1.0019100000000001</v>
      </c>
      <c r="E205" s="2">
        <f t="shared" si="7"/>
        <v>1.0027823476701532</v>
      </c>
      <c r="F205">
        <f t="shared" si="6"/>
        <v>-8.7234767015309522E-4</v>
      </c>
      <c r="H205" s="1"/>
    </row>
    <row r="206" spans="1:8" x14ac:dyDescent="0.25">
      <c r="A206" s="42">
        <v>872.41523199999995</v>
      </c>
      <c r="B206" s="42">
        <v>1.00213</v>
      </c>
      <c r="E206" s="2">
        <f t="shared" si="7"/>
        <v>1.002770998818642</v>
      </c>
      <c r="F206">
        <f t="shared" si="6"/>
        <v>-6.4099881864199126E-4</v>
      </c>
      <c r="H206" s="1"/>
    </row>
    <row r="207" spans="1:8" x14ac:dyDescent="0.25">
      <c r="A207" s="42">
        <v>939.52409599999999</v>
      </c>
      <c r="B207" s="42">
        <v>1.0023</v>
      </c>
      <c r="E207" s="2">
        <f t="shared" si="7"/>
        <v>1.0027616043923377</v>
      </c>
      <c r="F207">
        <f t="shared" si="6"/>
        <v>-4.6160439233777772E-4</v>
      </c>
      <c r="H207" s="1"/>
    </row>
    <row r="208" spans="1:8" x14ac:dyDescent="0.25">
      <c r="A208" s="42">
        <v>1006.63296</v>
      </c>
      <c r="B208" s="42">
        <v>1.0033799999999999</v>
      </c>
      <c r="E208" s="2">
        <f t="shared" si="7"/>
        <v>1.0027537235397308</v>
      </c>
      <c r="F208">
        <f t="shared" si="6"/>
        <v>6.262764602691373E-4</v>
      </c>
      <c r="H208" s="1"/>
    </row>
    <row r="209" spans="1:8" x14ac:dyDescent="0.25">
      <c r="A209" s="42">
        <v>1073.741824</v>
      </c>
      <c r="B209" s="42">
        <v>1.0040199999999999</v>
      </c>
      <c r="E209" s="2">
        <f t="shared" si="7"/>
        <v>1.0027470355232659</v>
      </c>
      <c r="F209">
        <f t="shared" si="6"/>
        <v>1.2729644767339732E-3</v>
      </c>
      <c r="H209" s="1"/>
    </row>
    <row r="210" spans="1:8" x14ac:dyDescent="0.25">
      <c r="A210" s="42">
        <v>1207.959552</v>
      </c>
      <c r="B210" s="42">
        <v>1.00278</v>
      </c>
      <c r="E210" s="2">
        <f t="shared" si="7"/>
        <v>1.0027363425646918</v>
      </c>
      <c r="F210">
        <f t="shared" si="6"/>
        <v>4.3657435308208647E-5</v>
      </c>
      <c r="H210" s="1"/>
    </row>
    <row r="211" spans="1:8" x14ac:dyDescent="0.25">
      <c r="A211" s="42">
        <v>1342.1772800000001</v>
      </c>
      <c r="B211" s="42">
        <v>1.0025299999999999</v>
      </c>
      <c r="E211" s="2">
        <f t="shared" si="7"/>
        <v>1.0027282211068946</v>
      </c>
      <c r="F211">
        <f t="shared" si="6"/>
        <v>-1.9822110689471373E-4</v>
      </c>
      <c r="H211" s="1"/>
    </row>
    <row r="212" spans="1:8" x14ac:dyDescent="0.25">
      <c r="A212" s="42">
        <v>1476.395008</v>
      </c>
      <c r="B212" s="42">
        <v>1.00214</v>
      </c>
      <c r="E212" s="2">
        <f t="shared" si="7"/>
        <v>1.0027218815298296</v>
      </c>
      <c r="F212">
        <f t="shared" si="6"/>
        <v>-5.8188152982951991E-4</v>
      </c>
      <c r="H212" s="1"/>
    </row>
    <row r="213" spans="1:8" x14ac:dyDescent="0.25">
      <c r="A213" s="42">
        <v>1610.612736</v>
      </c>
      <c r="B213" s="42">
        <v>1.0005200000000001</v>
      </c>
      <c r="E213" s="2">
        <f t="shared" si="7"/>
        <v>1.0027168207562278</v>
      </c>
      <c r="F213">
        <f t="shared" si="6"/>
        <v>-2.1968207562277353E-3</v>
      </c>
      <c r="H213" s="1"/>
    </row>
    <row r="214" spans="1:8" x14ac:dyDescent="0.25">
      <c r="A214" s="42">
        <v>1744.8304639999999</v>
      </c>
      <c r="B214" s="42">
        <v>1.00125</v>
      </c>
      <c r="E214" s="2">
        <f t="shared" si="7"/>
        <v>1.0027127046646533</v>
      </c>
      <c r="F214">
        <f t="shared" si="6"/>
        <v>-1.4627046646533692E-3</v>
      </c>
      <c r="H214" s="1"/>
    </row>
    <row r="215" spans="1:8" x14ac:dyDescent="0.25">
      <c r="A215" s="42">
        <v>1879.048192</v>
      </c>
      <c r="B215" s="42">
        <v>1.00119</v>
      </c>
      <c r="E215" s="2">
        <f t="shared" si="7"/>
        <v>1.0027093035625745</v>
      </c>
      <c r="F215">
        <f t="shared" si="6"/>
        <v>-1.5193035625744589E-3</v>
      </c>
      <c r="H215" s="1"/>
    </row>
    <row r="216" spans="1:8" x14ac:dyDescent="0.25">
      <c r="A216" s="42">
        <v>2013.2659200000001</v>
      </c>
      <c r="B216" s="42">
        <v>1.00058</v>
      </c>
      <c r="E216" s="2">
        <f t="shared" si="7"/>
        <v>1.0027064548895925</v>
      </c>
      <c r="F216">
        <f t="shared" si="6"/>
        <v>-2.1264548895925106E-3</v>
      </c>
      <c r="H216" s="1"/>
    </row>
    <row r="217" spans="1:8" x14ac:dyDescent="0.25">
      <c r="A217" s="42">
        <v>2147.4836479999999</v>
      </c>
      <c r="B217" s="42">
        <v>1.00088</v>
      </c>
      <c r="E217" s="2">
        <f t="shared" si="7"/>
        <v>1.0027040407016017</v>
      </c>
      <c r="F217">
        <f t="shared" si="6"/>
        <v>-1.8240407016016924E-3</v>
      </c>
      <c r="H217" s="1"/>
    </row>
    <row r="218" spans="1:8" x14ac:dyDescent="0.25">
      <c r="A218" s="42">
        <v>2415.9191040000001</v>
      </c>
      <c r="B218" s="42">
        <v>1.0011099999999999</v>
      </c>
      <c r="E218" s="2">
        <f t="shared" si="7"/>
        <v>1.0027001874394459</v>
      </c>
      <c r="F218">
        <f t="shared" si="6"/>
        <v>-1.5901874394459448E-3</v>
      </c>
      <c r="H218" s="1"/>
    </row>
    <row r="219" spans="1:8" x14ac:dyDescent="0.25">
      <c r="A219" s="42">
        <v>2684.3545600000002</v>
      </c>
      <c r="B219" s="42">
        <v>1.0006999999999999</v>
      </c>
      <c r="E219" s="2">
        <f t="shared" si="7"/>
        <v>1.0026972665298919</v>
      </c>
      <c r="F219">
        <f t="shared" si="6"/>
        <v>-1.9972665298919612E-3</v>
      </c>
      <c r="H219" s="1"/>
    </row>
    <row r="220" spans="1:8" x14ac:dyDescent="0.25">
      <c r="A220" s="42">
        <v>2952.7900159999999</v>
      </c>
      <c r="B220" s="42">
        <v>1.0005200000000001</v>
      </c>
      <c r="E220" s="2">
        <f t="shared" si="7"/>
        <v>1.0026949900942497</v>
      </c>
      <c r="F220">
        <f t="shared" si="6"/>
        <v>-2.1749900942495959E-3</v>
      </c>
      <c r="H220" s="1"/>
    </row>
    <row r="221" spans="1:8" x14ac:dyDescent="0.25">
      <c r="A221" s="42">
        <v>3221.2254720000001</v>
      </c>
      <c r="B221" s="42">
        <v>1.00099</v>
      </c>
      <c r="E221" s="2">
        <f t="shared" si="7"/>
        <v>1.0026931752465353</v>
      </c>
      <c r="F221">
        <f t="shared" si="6"/>
        <v>-1.7031752465352934E-3</v>
      </c>
      <c r="H221" s="1"/>
    </row>
    <row r="222" spans="1:8" x14ac:dyDescent="0.25">
      <c r="A222" s="42">
        <v>3489.6609279999998</v>
      </c>
      <c r="B222" s="42">
        <v>1.00014</v>
      </c>
      <c r="E222" s="2">
        <f t="shared" si="7"/>
        <v>1.0026917008099623</v>
      </c>
      <c r="F222">
        <f t="shared" si="6"/>
        <v>-2.551700809962254E-3</v>
      </c>
      <c r="H222" s="1"/>
    </row>
    <row r="223" spans="1:8" x14ac:dyDescent="0.25">
      <c r="A223" s="42">
        <v>3758.0963839999999</v>
      </c>
      <c r="B223" s="42">
        <v>1.0012000000000001</v>
      </c>
      <c r="E223" s="2">
        <f t="shared" si="7"/>
        <v>1.0026904836474753</v>
      </c>
      <c r="F223">
        <f t="shared" si="6"/>
        <v>-1.4904836474751715E-3</v>
      </c>
      <c r="H223" s="1"/>
    </row>
    <row r="224" spans="1:8" x14ac:dyDescent="0.25">
      <c r="A224" s="42">
        <v>4026.5318400000001</v>
      </c>
      <c r="B224" s="42">
        <v>1.00027</v>
      </c>
      <c r="E224" s="2">
        <f t="shared" si="7"/>
        <v>1.0026894650206539</v>
      </c>
      <c r="F224">
        <f t="shared" si="6"/>
        <v>-2.4194650206539325E-3</v>
      </c>
      <c r="H224" s="1"/>
    </row>
    <row r="225" spans="1:8" x14ac:dyDescent="0.25">
      <c r="A225" s="42">
        <v>4294.9672959999998</v>
      </c>
      <c r="B225" s="42">
        <v>1.00129</v>
      </c>
      <c r="E225" s="2">
        <f t="shared" si="7"/>
        <v>1.0026886023751069</v>
      </c>
      <c r="F225">
        <f t="shared" si="6"/>
        <v>-1.3986023751069165E-3</v>
      </c>
      <c r="H225" s="1"/>
    </row>
    <row r="226" spans="1:8" x14ac:dyDescent="0.25">
      <c r="A226" s="42">
        <v>4831.8382080000001</v>
      </c>
      <c r="B226" s="42">
        <v>1.0027900000000001</v>
      </c>
      <c r="E226" s="2">
        <f t="shared" si="7"/>
        <v>1.0026872267408946</v>
      </c>
      <c r="F226">
        <f t="shared" si="6"/>
        <v>1.0277325910545976E-4</v>
      </c>
      <c r="H226" s="1"/>
    </row>
    <row r="227" spans="1:8" x14ac:dyDescent="0.25">
      <c r="A227" s="42">
        <v>5368.7091200000004</v>
      </c>
      <c r="B227" s="42">
        <v>1.0025500000000001</v>
      </c>
      <c r="E227" s="2">
        <f t="shared" si="7"/>
        <v>1.0026861850155033</v>
      </c>
      <c r="F227">
        <f t="shared" si="6"/>
        <v>-1.3618501550327622E-4</v>
      </c>
      <c r="H227" s="1"/>
    </row>
    <row r="228" spans="1:8" x14ac:dyDescent="0.25">
      <c r="A228" s="42">
        <v>5905.5800319999998</v>
      </c>
      <c r="B228" s="42">
        <v>1.0029699999999999</v>
      </c>
      <c r="E228" s="2">
        <f t="shared" si="7"/>
        <v>1.002685373803627</v>
      </c>
      <c r="F228">
        <f t="shared" si="6"/>
        <v>2.8462619637292796E-4</v>
      </c>
      <c r="H228" s="1"/>
    </row>
    <row r="229" spans="1:8" x14ac:dyDescent="0.25">
      <c r="A229" s="42">
        <v>6442.4509440000002</v>
      </c>
      <c r="B229" s="42">
        <v>1.00305</v>
      </c>
      <c r="E229" s="2">
        <f t="shared" si="7"/>
        <v>1.0026847275181718</v>
      </c>
      <c r="F229">
        <f t="shared" si="6"/>
        <v>3.6527248182816052E-4</v>
      </c>
      <c r="H229" s="1"/>
    </row>
    <row r="230" spans="1:8" x14ac:dyDescent="0.25">
      <c r="A230" s="42">
        <v>6979.3218559999996</v>
      </c>
      <c r="B230" s="42">
        <v>1.00406</v>
      </c>
      <c r="E230" s="2">
        <f t="shared" si="7"/>
        <v>1.0026842027561906</v>
      </c>
      <c r="F230">
        <f t="shared" si="6"/>
        <v>1.375797243809318E-3</v>
      </c>
      <c r="H230" s="1"/>
    </row>
    <row r="231" spans="1:8" x14ac:dyDescent="0.25">
      <c r="A231" s="42">
        <v>7516.1927679999999</v>
      </c>
      <c r="B231" s="42">
        <v>1.00329</v>
      </c>
      <c r="E231" s="2">
        <f t="shared" si="7"/>
        <v>1.0026837697706816</v>
      </c>
      <c r="F231">
        <f t="shared" si="6"/>
        <v>6.06230229318383E-4</v>
      </c>
      <c r="H231" s="1"/>
    </row>
    <row r="232" spans="1:8" x14ac:dyDescent="0.25">
      <c r="A232" s="42">
        <v>8053.0636800000002</v>
      </c>
      <c r="B232" s="42">
        <v>1.00414</v>
      </c>
      <c r="E232" s="2">
        <f t="shared" si="7"/>
        <v>1.0026834075632123</v>
      </c>
      <c r="F232">
        <f t="shared" si="6"/>
        <v>1.4565924367877514E-3</v>
      </c>
      <c r="H232" s="1"/>
    </row>
    <row r="233" spans="1:8" x14ac:dyDescent="0.25">
      <c r="A233" s="42">
        <v>8589.9345919999996</v>
      </c>
      <c r="B233" s="42">
        <v>1.00478</v>
      </c>
      <c r="E233" s="2">
        <f t="shared" si="7"/>
        <v>1.0026831009325679</v>
      </c>
      <c r="F233">
        <f t="shared" si="6"/>
        <v>2.0968990674321564E-3</v>
      </c>
      <c r="H233" s="1"/>
    </row>
    <row r="234" spans="1:8" x14ac:dyDescent="0.25">
      <c r="A234" s="42">
        <v>9663.6764160000002</v>
      </c>
      <c r="B234" s="42">
        <v>1.00454</v>
      </c>
      <c r="E234" s="2">
        <f t="shared" si="7"/>
        <v>1.0026826121804207</v>
      </c>
      <c r="F234">
        <f t="shared" si="6"/>
        <v>1.857387819579337E-3</v>
      </c>
      <c r="H234" s="1"/>
    </row>
    <row r="235" spans="1:8" x14ac:dyDescent="0.25">
      <c r="A235" s="42">
        <v>10737.418240000001</v>
      </c>
      <c r="B235" s="42">
        <v>1.00397</v>
      </c>
      <c r="E235" s="2">
        <f t="shared" si="7"/>
        <v>1.0026822422541659</v>
      </c>
      <c r="F235">
        <f t="shared" si="6"/>
        <v>1.2877577458341172E-3</v>
      </c>
      <c r="H235" s="1"/>
    </row>
    <row r="236" spans="1:8" x14ac:dyDescent="0.25">
      <c r="A236" s="42">
        <v>11811.160064</v>
      </c>
      <c r="B236" s="42">
        <v>1.00366</v>
      </c>
      <c r="E236" s="2">
        <f t="shared" si="7"/>
        <v>1.0026819543055081</v>
      </c>
      <c r="F236">
        <f t="shared" si="6"/>
        <v>9.7804569449189138E-4</v>
      </c>
      <c r="H236" s="1"/>
    </row>
    <row r="237" spans="1:8" x14ac:dyDescent="0.25">
      <c r="A237" s="42">
        <v>12884.901888</v>
      </c>
      <c r="B237" s="42">
        <v>1.0033399999999999</v>
      </c>
      <c r="E237" s="2">
        <f t="shared" si="7"/>
        <v>1.0026817249783482</v>
      </c>
      <c r="F237">
        <f t="shared" si="6"/>
        <v>6.5827502165172191E-4</v>
      </c>
      <c r="H237" s="1"/>
    </row>
    <row r="238" spans="1:8" x14ac:dyDescent="0.25">
      <c r="A238" s="42">
        <v>13958.643711999999</v>
      </c>
      <c r="B238" s="42">
        <v>1.0037700000000001</v>
      </c>
      <c r="E238" s="2">
        <f t="shared" si="7"/>
        <v>1.0026815388263286</v>
      </c>
      <c r="F238">
        <f t="shared" si="6"/>
        <v>1.0884611736714511E-3</v>
      </c>
      <c r="H238" s="1"/>
    </row>
    <row r="239" spans="1:8" x14ac:dyDescent="0.25">
      <c r="A239" s="42">
        <v>15032.385536</v>
      </c>
      <c r="B239" s="42">
        <v>1.0043500000000001</v>
      </c>
      <c r="H239" s="1"/>
    </row>
    <row r="240" spans="1:8" x14ac:dyDescent="0.25">
      <c r="A240" s="42">
        <v>16106.12736</v>
      </c>
      <c r="B240" s="42">
        <v>1.0051600000000001</v>
      </c>
      <c r="H240" s="1"/>
    </row>
    <row r="241" spans="1:8" x14ac:dyDescent="0.25">
      <c r="A241" s="42">
        <v>17179.869183999999</v>
      </c>
      <c r="B241" s="42">
        <v>1.00485</v>
      </c>
      <c r="H241" s="1"/>
    </row>
    <row r="242" spans="1:8" x14ac:dyDescent="0.25">
      <c r="A242" s="42">
        <v>19327.352832</v>
      </c>
      <c r="B242" s="42">
        <v>1.0021800000000001</v>
      </c>
      <c r="H242" s="1"/>
    </row>
    <row r="243" spans="1:8" x14ac:dyDescent="0.25">
      <c r="A243" s="42">
        <v>21474.836480000002</v>
      </c>
      <c r="B243" s="42">
        <v>1.00281</v>
      </c>
      <c r="H243" s="1"/>
    </row>
    <row r="244" spans="1:8" x14ac:dyDescent="0.25">
      <c r="A244" s="42">
        <v>23622.320127999999</v>
      </c>
      <c r="B244" s="42">
        <v>1.00404</v>
      </c>
      <c r="H244" s="1"/>
    </row>
    <row r="245" spans="1:8" x14ac:dyDescent="0.25">
      <c r="A245" s="42">
        <v>25769.803776000001</v>
      </c>
      <c r="B245" s="42">
        <v>1.00146</v>
      </c>
      <c r="H245" s="1"/>
    </row>
    <row r="246" spans="1:8" x14ac:dyDescent="0.25">
      <c r="A246" s="41">
        <v>27917.287423999998</v>
      </c>
      <c r="B246" s="41">
        <v>1.0037100000000001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"/>
  <sheetViews>
    <sheetView zoomScale="85" zoomScaleNormal="85" workbookViewId="0">
      <selection activeCell="T8" sqref="T8"/>
    </sheetView>
  </sheetViews>
  <sheetFormatPr defaultColWidth="9" defaultRowHeight="15" x14ac:dyDescent="0.25"/>
  <cols>
    <col min="1" max="1" width="14.28515625" bestFit="1" customWidth="1"/>
    <col min="2" max="2" width="9.85546875" bestFit="1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bestFit="1" customWidth="1"/>
  </cols>
  <sheetData>
    <row r="1" spans="1:12" x14ac:dyDescent="0.25">
      <c r="A1" t="s">
        <v>6</v>
      </c>
      <c r="B1" t="s">
        <v>10</v>
      </c>
      <c r="C1" t="s">
        <v>0</v>
      </c>
      <c r="E1" s="2" t="s">
        <v>3</v>
      </c>
      <c r="F1" s="2" t="s">
        <v>4</v>
      </c>
      <c r="G1" s="2" t="s">
        <v>5</v>
      </c>
      <c r="J1" s="4" t="s">
        <v>18</v>
      </c>
      <c r="L1" s="3" t="s">
        <v>21</v>
      </c>
    </row>
    <row r="2" spans="1:12" ht="15.75" x14ac:dyDescent="0.25">
      <c r="A2" s="43">
        <v>3.9999999999999998E-6</v>
      </c>
      <c r="B2" s="43">
        <v>1.2459</v>
      </c>
      <c r="C2" s="11" t="s">
        <v>1</v>
      </c>
      <c r="D2" s="12">
        <v>1.0057852066104245</v>
      </c>
      <c r="E2" s="2">
        <f>$D$2+1/$D$3*($D$8/(1+A2/$D$4)/SQRT(1+A2/$D$4/$D$5/$D$5)+(1-$D$8)/(1+A2/$D$6)/SQRT(1+A2/$D$6/$D$7/$D$7))*(1+$D$9*EXP(-A2/$D$10)+$D$11*EXP(-A2/$D$12))</f>
        <v>1.3027146914105345</v>
      </c>
      <c r="F2">
        <f t="shared" ref="F2:F65" si="0">B2-E2</f>
        <v>-5.6814691410534524E-2</v>
      </c>
      <c r="G2">
        <f>SUMSQ(F$4:F$190)</f>
        <v>2.2251859745961249E-3</v>
      </c>
      <c r="H2" s="1"/>
      <c r="I2" s="13" t="s">
        <v>19</v>
      </c>
      <c r="J2" s="16">
        <v>131.30000000000001</v>
      </c>
      <c r="L2" s="14">
        <f>(J2+J3)/D3</f>
        <v>65.044389737489226</v>
      </c>
    </row>
    <row r="3" spans="1:12" x14ac:dyDescent="0.25">
      <c r="A3" s="43">
        <v>7.9999999999999996E-6</v>
      </c>
      <c r="B3" s="43">
        <v>1.27972</v>
      </c>
      <c r="C3" s="11" t="s">
        <v>2</v>
      </c>
      <c r="D3" s="12">
        <v>4.32781368440995</v>
      </c>
      <c r="E3" s="2">
        <f t="shared" ref="E3:E66" si="1">$D$2+1/$D$3*($D$8/(1+A3/$D$4)/SQRT(1+A3/$D$4/$D$5/$D$5)+(1-$D$8)/(1+A3/$D$6)/SQRT(1+A3/$D$6/$D$7/$D$7))*(1+$D$9*EXP(-A3/$D$10)+$D$11*EXP(-A3/$D$12))</f>
        <v>1.2977135134417552</v>
      </c>
      <c r="F3">
        <f t="shared" si="0"/>
        <v>-1.799351344175526E-2</v>
      </c>
      <c r="H3" s="1"/>
      <c r="I3" s="13" t="s">
        <v>20</v>
      </c>
      <c r="J3" s="16">
        <v>150.19999999999999</v>
      </c>
    </row>
    <row r="4" spans="1:12" x14ac:dyDescent="0.25">
      <c r="A4" s="43">
        <v>1.2E-5</v>
      </c>
      <c r="B4" s="43">
        <v>1.2964199999999999</v>
      </c>
      <c r="C4" s="11" t="s">
        <v>26</v>
      </c>
      <c r="D4" s="12">
        <v>1.3813088029917346</v>
      </c>
      <c r="E4" s="2">
        <f t="shared" si="1"/>
        <v>1.2933538073822439</v>
      </c>
      <c r="F4">
        <f t="shared" si="0"/>
        <v>3.0661926177559806E-3</v>
      </c>
      <c r="H4" s="1"/>
      <c r="I4" s="4"/>
    </row>
    <row r="5" spans="1:12" x14ac:dyDescent="0.25">
      <c r="A5" s="43">
        <v>1.5999999999999999E-5</v>
      </c>
      <c r="B5" s="43">
        <v>1.2784</v>
      </c>
      <c r="C5" s="11" t="s">
        <v>22</v>
      </c>
      <c r="D5" s="12">
        <f>('1_Rh110 in buffer'!D5+'2_Rh110 in buffer'!D5)/2</f>
        <v>5.9953640241376469</v>
      </c>
      <c r="E5" s="2">
        <f t="shared" si="1"/>
        <v>1.2895531005096132</v>
      </c>
      <c r="F5">
        <f t="shared" si="0"/>
        <v>-1.1153100509613267E-2</v>
      </c>
      <c r="H5" s="1"/>
      <c r="I5" s="4"/>
    </row>
    <row r="6" spans="1:12" x14ac:dyDescent="0.25">
      <c r="A6" s="43">
        <v>2.0000000000000002E-5</v>
      </c>
      <c r="B6" s="43">
        <v>1.292</v>
      </c>
      <c r="C6" s="11" t="s">
        <v>25</v>
      </c>
      <c r="D6" s="12">
        <v>1.38</v>
      </c>
      <c r="E6" s="2">
        <f t="shared" si="1"/>
        <v>1.286239523525905</v>
      </c>
      <c r="F6">
        <f t="shared" si="0"/>
        <v>5.7604764740950554E-3</v>
      </c>
      <c r="H6" s="1"/>
      <c r="I6" s="4"/>
    </row>
    <row r="7" spans="1:12" x14ac:dyDescent="0.25">
      <c r="A7" s="43">
        <v>2.4000000000000001E-5</v>
      </c>
      <c r="B7" s="43">
        <v>1.2979000000000001</v>
      </c>
      <c r="C7" s="11" t="s">
        <v>22</v>
      </c>
      <c r="D7" s="12">
        <f>('1_Rh110 in buffer'!D5+'2_Rh110 in buffer'!D5)/2</f>
        <v>5.9953640241376469</v>
      </c>
      <c r="E7" s="2">
        <f t="shared" si="1"/>
        <v>1.2833504472872959</v>
      </c>
      <c r="F7">
        <f t="shared" si="0"/>
        <v>1.4549552712704195E-2</v>
      </c>
      <c r="H7" s="1"/>
      <c r="I7" s="4"/>
    </row>
    <row r="8" spans="1:12" x14ac:dyDescent="0.25">
      <c r="A8" s="43">
        <v>2.8E-5</v>
      </c>
      <c r="B8" s="43">
        <v>1.2675000000000001</v>
      </c>
      <c r="C8" s="11" t="s">
        <v>13</v>
      </c>
      <c r="D8" s="12">
        <v>1</v>
      </c>
      <c r="E8" s="2">
        <f t="shared" si="1"/>
        <v>1.2808312948079297</v>
      </c>
      <c r="F8">
        <f t="shared" si="0"/>
        <v>-1.3331294807929606E-2</v>
      </c>
      <c r="H8" s="1"/>
      <c r="I8" s="4"/>
    </row>
    <row r="9" spans="1:12" x14ac:dyDescent="0.25">
      <c r="A9" s="43">
        <v>3.1999999999999999E-5</v>
      </c>
      <c r="B9" s="43">
        <v>1.28451</v>
      </c>
      <c r="C9" s="11" t="s">
        <v>14</v>
      </c>
      <c r="D9" s="12">
        <v>0.11716028833407045</v>
      </c>
      <c r="E9" s="2">
        <f t="shared" si="1"/>
        <v>1.2786345060030695</v>
      </c>
      <c r="F9">
        <f t="shared" si="0"/>
        <v>5.8754939969305475E-3</v>
      </c>
      <c r="H9" s="1"/>
      <c r="I9" s="4"/>
    </row>
    <row r="10" spans="1:12" x14ac:dyDescent="0.25">
      <c r="A10" s="43">
        <v>3.6000000000000001E-5</v>
      </c>
      <c r="B10" s="43">
        <v>1.2770900000000001</v>
      </c>
      <c r="C10" s="11" t="s">
        <v>24</v>
      </c>
      <c r="D10" s="12">
        <v>9.7222742547136472E-3</v>
      </c>
      <c r="E10" s="2">
        <f t="shared" si="1"/>
        <v>1.2767186355340543</v>
      </c>
      <c r="F10">
        <f t="shared" si="0"/>
        <v>3.7136446594576711E-4</v>
      </c>
      <c r="H10" s="1"/>
      <c r="I10" s="4"/>
    </row>
    <row r="11" spans="1:12" x14ac:dyDescent="0.25">
      <c r="A11" s="43">
        <v>4.0000000000000003E-5</v>
      </c>
      <c r="B11" s="43">
        <v>1.2798799999999999</v>
      </c>
      <c r="C11" s="11" t="s">
        <v>15</v>
      </c>
      <c r="D11" s="12">
        <v>0.19272512331782435</v>
      </c>
      <c r="E11" s="2">
        <f t="shared" si="1"/>
        <v>1.2750475666423091</v>
      </c>
      <c r="F11">
        <f t="shared" si="0"/>
        <v>4.8324333576907907E-3</v>
      </c>
      <c r="H11" s="1"/>
      <c r="I11" s="4"/>
    </row>
    <row r="12" spans="1:12" x14ac:dyDescent="0.25">
      <c r="A12" s="43">
        <v>4.3999999999999999E-5</v>
      </c>
      <c r="B12" s="43">
        <v>1.2645999999999999</v>
      </c>
      <c r="C12" s="11" t="s">
        <v>23</v>
      </c>
      <c r="D12" s="12">
        <v>2.9066492203814916E-5</v>
      </c>
      <c r="E12" s="2">
        <f t="shared" si="1"/>
        <v>1.2735898260598284</v>
      </c>
      <c r="F12">
        <f t="shared" si="0"/>
        <v>-8.9898260598284541E-3</v>
      </c>
      <c r="H12" s="1"/>
      <c r="I12" s="4"/>
    </row>
    <row r="13" spans="1:12" x14ac:dyDescent="0.25">
      <c r="A13" s="43">
        <v>4.8000000000000001E-5</v>
      </c>
      <c r="B13" s="43">
        <v>1.2725</v>
      </c>
      <c r="E13" s="2">
        <f t="shared" si="1"/>
        <v>1.2723179870008425</v>
      </c>
      <c r="F13">
        <f t="shared" si="0"/>
        <v>1.8201299915743263E-4</v>
      </c>
      <c r="H13" s="1"/>
    </row>
    <row r="14" spans="1:12" x14ac:dyDescent="0.25">
      <c r="A14" s="43">
        <v>5.1999999999999997E-5</v>
      </c>
      <c r="B14" s="43">
        <v>1.2661800000000001</v>
      </c>
      <c r="E14" s="2">
        <f t="shared" si="1"/>
        <v>1.2712081489101732</v>
      </c>
      <c r="F14">
        <f t="shared" si="0"/>
        <v>-5.0281489101731136E-3</v>
      </c>
      <c r="H14" s="1"/>
    </row>
    <row r="15" spans="1:12" x14ac:dyDescent="0.25">
      <c r="A15" s="43">
        <v>5.5999999999999999E-5</v>
      </c>
      <c r="B15" s="43">
        <v>1.2705</v>
      </c>
      <c r="E15" s="2">
        <f t="shared" si="1"/>
        <v>1.2702394840997513</v>
      </c>
      <c r="F15">
        <f t="shared" si="0"/>
        <v>2.6051590024867011E-4</v>
      </c>
      <c r="H15" s="1"/>
    </row>
    <row r="16" spans="1:12" x14ac:dyDescent="0.25">
      <c r="A16" s="43">
        <v>6.0000000000000002E-5</v>
      </c>
      <c r="B16" s="43">
        <v>1.2623899999999999</v>
      </c>
      <c r="E16" s="2">
        <f t="shared" si="1"/>
        <v>1.2693938426735685</v>
      </c>
      <c r="F16">
        <f t="shared" si="0"/>
        <v>-7.0038426735685722E-3</v>
      </c>
      <c r="H16" s="1"/>
    </row>
    <row r="17" spans="1:8" x14ac:dyDescent="0.25">
      <c r="A17" s="43">
        <v>6.3999999999999997E-5</v>
      </c>
      <c r="B17" s="43">
        <v>1.2664200000000001</v>
      </c>
      <c r="E17" s="2">
        <f t="shared" si="1"/>
        <v>1.2686554082469794</v>
      </c>
      <c r="F17">
        <f t="shared" si="0"/>
        <v>-2.2354082469793202E-3</v>
      </c>
      <c r="H17" s="1"/>
    </row>
    <row r="18" spans="1:8" x14ac:dyDescent="0.25">
      <c r="A18" s="43">
        <v>7.2000000000000002E-5</v>
      </c>
      <c r="B18" s="43">
        <v>1.2682599999999999</v>
      </c>
      <c r="E18" s="2">
        <f t="shared" si="1"/>
        <v>1.2674468008821436</v>
      </c>
      <c r="F18">
        <f t="shared" si="0"/>
        <v>8.13199117856378E-4</v>
      </c>
      <c r="H18" s="1"/>
    </row>
    <row r="19" spans="1:8" x14ac:dyDescent="0.25">
      <c r="A19" s="43">
        <v>8.0000000000000007E-5</v>
      </c>
      <c r="B19" s="43">
        <v>1.26118</v>
      </c>
      <c r="E19" s="2">
        <f t="shared" si="1"/>
        <v>1.2665233257968456</v>
      </c>
      <c r="F19">
        <f t="shared" si="0"/>
        <v>-5.3433257968455994E-3</v>
      </c>
      <c r="H19" s="1"/>
    </row>
    <row r="20" spans="1:8" x14ac:dyDescent="0.25">
      <c r="A20" s="43">
        <v>8.7999999999999998E-5</v>
      </c>
      <c r="B20" s="43">
        <v>1.2713399999999999</v>
      </c>
      <c r="E20" s="2">
        <f t="shared" si="1"/>
        <v>1.2658163823739752</v>
      </c>
      <c r="F20">
        <f t="shared" si="0"/>
        <v>5.5236176260247127E-3</v>
      </c>
      <c r="H20" s="1"/>
    </row>
    <row r="21" spans="1:8" x14ac:dyDescent="0.25">
      <c r="A21" s="43">
        <v>9.6000000000000002E-5</v>
      </c>
      <c r="B21" s="43">
        <v>1.27024</v>
      </c>
      <c r="E21" s="2">
        <f t="shared" si="1"/>
        <v>1.2652738758352495</v>
      </c>
      <c r="F21">
        <f t="shared" si="0"/>
        <v>4.9661241647505072E-3</v>
      </c>
      <c r="H21" s="1"/>
    </row>
    <row r="22" spans="1:8" x14ac:dyDescent="0.25">
      <c r="A22" s="43">
        <v>1.0399999999999999E-4</v>
      </c>
      <c r="B22" s="43">
        <v>1.2792699999999999</v>
      </c>
      <c r="E22" s="2">
        <f t="shared" si="1"/>
        <v>1.2648562458079027</v>
      </c>
      <c r="F22">
        <f t="shared" si="0"/>
        <v>1.4413754192097228E-2</v>
      </c>
      <c r="H22" s="1"/>
    </row>
    <row r="23" spans="1:8" x14ac:dyDescent="0.25">
      <c r="A23" s="43">
        <v>1.12E-4</v>
      </c>
      <c r="B23" s="43">
        <v>1.2714000000000001</v>
      </c>
      <c r="E23" s="2">
        <f t="shared" si="1"/>
        <v>1.264533450449149</v>
      </c>
      <c r="F23">
        <f t="shared" si="0"/>
        <v>6.8665495508510865E-3</v>
      </c>
      <c r="H23" s="1"/>
    </row>
    <row r="24" spans="1:8" x14ac:dyDescent="0.25">
      <c r="A24" s="43">
        <v>1.2E-4</v>
      </c>
      <c r="B24" s="43">
        <v>1.2660499999999999</v>
      </c>
      <c r="E24" s="2">
        <f t="shared" si="1"/>
        <v>1.2642826762137762</v>
      </c>
      <c r="F24">
        <f t="shared" si="0"/>
        <v>1.7673237862236846E-3</v>
      </c>
      <c r="H24" s="1"/>
    </row>
    <row r="25" spans="1:8" x14ac:dyDescent="0.25">
      <c r="A25" s="43">
        <v>1.2799999999999999E-4</v>
      </c>
      <c r="B25" s="43">
        <v>1.26508</v>
      </c>
      <c r="E25" s="2">
        <f t="shared" si="1"/>
        <v>1.2640865986694836</v>
      </c>
      <c r="F25">
        <f t="shared" si="0"/>
        <v>9.934013305163969E-4</v>
      </c>
      <c r="H25" s="1"/>
    </row>
    <row r="26" spans="1:8" x14ac:dyDescent="0.25">
      <c r="A26" s="43">
        <v>1.44E-4</v>
      </c>
      <c r="B26" s="43">
        <v>1.2661199999999999</v>
      </c>
      <c r="E26" s="2">
        <f t="shared" si="1"/>
        <v>1.2638090749260442</v>
      </c>
      <c r="F26">
        <f t="shared" si="0"/>
        <v>2.3109250739556941E-3</v>
      </c>
      <c r="H26" s="1"/>
    </row>
    <row r="27" spans="1:8" x14ac:dyDescent="0.25">
      <c r="A27" s="43">
        <v>1.6000000000000001E-4</v>
      </c>
      <c r="B27" s="43">
        <v>1.2681</v>
      </c>
      <c r="E27" s="2">
        <f t="shared" si="1"/>
        <v>1.263629229662284</v>
      </c>
      <c r="F27">
        <f t="shared" si="0"/>
        <v>4.4707703377160346E-3</v>
      </c>
      <c r="H27" s="1"/>
    </row>
    <row r="28" spans="1:8" x14ac:dyDescent="0.25">
      <c r="A28" s="43">
        <v>1.76E-4</v>
      </c>
      <c r="B28" s="43">
        <v>1.26955</v>
      </c>
      <c r="E28" s="2">
        <f t="shared" si="1"/>
        <v>1.2635057442087705</v>
      </c>
      <c r="F28">
        <f t="shared" si="0"/>
        <v>6.0442557912294692E-3</v>
      </c>
      <c r="H28" s="1"/>
    </row>
    <row r="29" spans="1:8" x14ac:dyDescent="0.25">
      <c r="A29" s="43">
        <v>1.92E-4</v>
      </c>
      <c r="B29" s="43">
        <v>1.26335</v>
      </c>
      <c r="E29" s="2">
        <f t="shared" si="1"/>
        <v>1.263414791007111</v>
      </c>
      <c r="F29">
        <f t="shared" si="0"/>
        <v>-6.4791007110986953E-5</v>
      </c>
      <c r="H29" s="1"/>
    </row>
    <row r="30" spans="1:8" x14ac:dyDescent="0.25">
      <c r="A30" s="43">
        <v>2.0799999999999999E-4</v>
      </c>
      <c r="B30" s="43">
        <v>1.2677400000000001</v>
      </c>
      <c r="E30" s="2">
        <f t="shared" si="1"/>
        <v>1.2633426292123451</v>
      </c>
      <c r="F30">
        <f t="shared" si="0"/>
        <v>4.3973707876550083E-3</v>
      </c>
      <c r="H30" s="1"/>
    </row>
    <row r="31" spans="1:8" x14ac:dyDescent="0.25">
      <c r="A31" s="43">
        <v>2.24E-4</v>
      </c>
      <c r="B31" s="43">
        <v>1.2705</v>
      </c>
      <c r="E31" s="2">
        <f t="shared" si="1"/>
        <v>1.2632813347505745</v>
      </c>
      <c r="F31">
        <f t="shared" si="0"/>
        <v>7.2186652494254933E-3</v>
      </c>
      <c r="H31" s="1"/>
    </row>
    <row r="32" spans="1:8" x14ac:dyDescent="0.25">
      <c r="A32" s="43">
        <v>2.4000000000000001E-4</v>
      </c>
      <c r="B32" s="43">
        <v>1.2636099999999999</v>
      </c>
      <c r="E32" s="2">
        <f t="shared" si="1"/>
        <v>1.2632263379433804</v>
      </c>
      <c r="F32">
        <f t="shared" si="0"/>
        <v>3.8366205661954922E-4</v>
      </c>
      <c r="H32" s="1"/>
    </row>
    <row r="33" spans="1:8" x14ac:dyDescent="0.25">
      <c r="A33" s="43">
        <v>2.5599999999999999E-4</v>
      </c>
      <c r="B33" s="43">
        <v>1.2636700000000001</v>
      </c>
      <c r="E33" s="2">
        <f t="shared" si="1"/>
        <v>1.2631750035135996</v>
      </c>
      <c r="F33">
        <f t="shared" si="0"/>
        <v>4.9499648640050076E-4</v>
      </c>
      <c r="H33" s="1"/>
    </row>
    <row r="34" spans="1:8" x14ac:dyDescent="0.25">
      <c r="A34" s="43">
        <v>2.8800000000000001E-4</v>
      </c>
      <c r="B34" s="43">
        <v>1.26224</v>
      </c>
      <c r="E34" s="2">
        <f t="shared" si="1"/>
        <v>1.2630778860697793</v>
      </c>
      <c r="F34">
        <f t="shared" si="0"/>
        <v>-8.3788606977930336E-4</v>
      </c>
      <c r="H34" s="1"/>
    </row>
    <row r="35" spans="1:8" x14ac:dyDescent="0.25">
      <c r="A35" s="43">
        <v>3.2000000000000003E-4</v>
      </c>
      <c r="B35" s="43">
        <v>1.2624</v>
      </c>
      <c r="E35" s="2">
        <f t="shared" si="1"/>
        <v>1.2629840252974327</v>
      </c>
      <c r="F35">
        <f t="shared" si="0"/>
        <v>-5.8402529743273313E-4</v>
      </c>
      <c r="H35" s="1"/>
    </row>
    <row r="36" spans="1:8" x14ac:dyDescent="0.25">
      <c r="A36" s="43">
        <v>3.5199999999999999E-4</v>
      </c>
      <c r="B36" s="43">
        <v>1.26369</v>
      </c>
      <c r="E36" s="2">
        <f t="shared" si="1"/>
        <v>1.2628914394842028</v>
      </c>
      <c r="F36">
        <f t="shared" si="0"/>
        <v>7.9856051579718645E-4</v>
      </c>
      <c r="H36" s="1"/>
    </row>
    <row r="37" spans="1:8" x14ac:dyDescent="0.25">
      <c r="A37" s="43">
        <v>3.8400000000000001E-4</v>
      </c>
      <c r="B37" s="43">
        <v>1.2656400000000001</v>
      </c>
      <c r="E37" s="2">
        <f t="shared" si="1"/>
        <v>1.2627994689653863</v>
      </c>
      <c r="F37">
        <f t="shared" si="0"/>
        <v>2.8405310346137913E-3</v>
      </c>
      <c r="H37" s="1"/>
    </row>
    <row r="38" spans="1:8" x14ac:dyDescent="0.25">
      <c r="A38" s="43">
        <v>4.1599999999999997E-4</v>
      </c>
      <c r="B38" s="43">
        <v>1.2638799999999999</v>
      </c>
      <c r="E38" s="2">
        <f t="shared" si="1"/>
        <v>1.2627078937330354</v>
      </c>
      <c r="F38">
        <f t="shared" si="0"/>
        <v>1.1721062669645121E-3</v>
      </c>
      <c r="H38" s="1"/>
    </row>
    <row r="39" spans="1:8" x14ac:dyDescent="0.25">
      <c r="A39" s="43">
        <v>4.4799999999999999E-4</v>
      </c>
      <c r="B39" s="43">
        <v>1.2620800000000001</v>
      </c>
      <c r="E39" s="2">
        <f t="shared" si="1"/>
        <v>1.2626166399917116</v>
      </c>
      <c r="F39">
        <f t="shared" si="0"/>
        <v>-5.3663999171149612E-4</v>
      </c>
      <c r="H39" s="1"/>
    </row>
    <row r="40" spans="1:8" x14ac:dyDescent="0.25">
      <c r="A40" s="43">
        <v>4.8000000000000001E-4</v>
      </c>
      <c r="B40" s="43">
        <v>1.26135</v>
      </c>
      <c r="E40" s="2">
        <f t="shared" si="1"/>
        <v>1.2625256825718876</v>
      </c>
      <c r="F40">
        <f t="shared" si="0"/>
        <v>-1.1756825718876041E-3</v>
      </c>
      <c r="H40" s="1"/>
    </row>
    <row r="41" spans="1:8" x14ac:dyDescent="0.25">
      <c r="A41" s="43">
        <v>5.1199999999999998E-4</v>
      </c>
      <c r="B41" s="43">
        <v>1.26433</v>
      </c>
      <c r="E41" s="2">
        <f t="shared" si="1"/>
        <v>1.2624350124769452</v>
      </c>
      <c r="F41">
        <f t="shared" si="0"/>
        <v>1.8949875230547253E-3</v>
      </c>
      <c r="H41" s="1"/>
    </row>
    <row r="42" spans="1:8" x14ac:dyDescent="0.25">
      <c r="A42" s="43">
        <v>5.7600000000000001E-4</v>
      </c>
      <c r="B42" s="43">
        <v>1.26231</v>
      </c>
      <c r="E42" s="2">
        <f t="shared" si="1"/>
        <v>1.2622545215884795</v>
      </c>
      <c r="F42">
        <f t="shared" si="0"/>
        <v>5.5478411520537563E-5</v>
      </c>
      <c r="H42" s="1"/>
    </row>
    <row r="43" spans="1:8" x14ac:dyDescent="0.25">
      <c r="A43" s="43">
        <v>6.4000000000000005E-4</v>
      </c>
      <c r="B43" s="43">
        <v>1.2602899999999999</v>
      </c>
      <c r="E43" s="2">
        <f t="shared" si="1"/>
        <v>1.2620751535287393</v>
      </c>
      <c r="F43">
        <f t="shared" si="0"/>
        <v>-1.7851535287394249E-3</v>
      </c>
      <c r="H43" s="1"/>
    </row>
    <row r="44" spans="1:8" x14ac:dyDescent="0.25">
      <c r="A44" s="43">
        <v>7.0399999999999998E-4</v>
      </c>
      <c r="B44" s="43">
        <v>1.26054</v>
      </c>
      <c r="E44" s="2">
        <f t="shared" si="1"/>
        <v>1.2618969001880855</v>
      </c>
      <c r="F44">
        <f t="shared" si="0"/>
        <v>-1.3569001880855414E-3</v>
      </c>
      <c r="H44" s="1"/>
    </row>
    <row r="45" spans="1:8" x14ac:dyDescent="0.25">
      <c r="A45" s="43">
        <v>7.6800000000000002E-4</v>
      </c>
      <c r="B45" s="43">
        <v>1.26071</v>
      </c>
      <c r="E45" s="2">
        <f t="shared" si="1"/>
        <v>1.2617197541294367</v>
      </c>
      <c r="F45">
        <f t="shared" si="0"/>
        <v>-1.0097541294367129E-3</v>
      </c>
      <c r="H45" s="1"/>
    </row>
    <row r="46" spans="1:8" x14ac:dyDescent="0.25">
      <c r="A46" s="43">
        <v>8.3199999999999995E-4</v>
      </c>
      <c r="B46" s="43">
        <v>1.2608999999999999</v>
      </c>
      <c r="E46" s="2">
        <f t="shared" si="1"/>
        <v>1.2615437080333152</v>
      </c>
      <c r="F46">
        <f t="shared" si="0"/>
        <v>-6.4370803331526005E-4</v>
      </c>
      <c r="H46" s="1"/>
    </row>
    <row r="47" spans="1:8" x14ac:dyDescent="0.25">
      <c r="A47" s="43">
        <v>8.9599999999999999E-4</v>
      </c>
      <c r="B47" s="43">
        <v>1.25858</v>
      </c>
      <c r="E47" s="2">
        <f t="shared" si="1"/>
        <v>1.2613687546361851</v>
      </c>
      <c r="F47">
        <f t="shared" si="0"/>
        <v>-2.788754636185109E-3</v>
      </c>
      <c r="H47" s="1"/>
    </row>
    <row r="48" spans="1:8" x14ac:dyDescent="0.25">
      <c r="A48" s="43">
        <v>9.6000000000000002E-4</v>
      </c>
      <c r="B48" s="43">
        <v>1.2597799999999999</v>
      </c>
      <c r="E48" s="2">
        <f t="shared" si="1"/>
        <v>1.2611948867233507</v>
      </c>
      <c r="F48">
        <f t="shared" si="0"/>
        <v>-1.4148867233507723E-3</v>
      </c>
      <c r="H48" s="1"/>
    </row>
    <row r="49" spans="1:8" x14ac:dyDescent="0.25">
      <c r="A49" s="43">
        <v>1.024E-3</v>
      </c>
      <c r="B49" s="43">
        <v>1.2571399999999999</v>
      </c>
      <c r="E49" s="2">
        <f t="shared" si="1"/>
        <v>1.261022097127888</v>
      </c>
      <c r="F49">
        <f t="shared" si="0"/>
        <v>-3.8820971278881178E-3</v>
      </c>
      <c r="H49" s="1"/>
    </row>
    <row r="50" spans="1:8" x14ac:dyDescent="0.25">
      <c r="A50" s="43">
        <v>1.152E-3</v>
      </c>
      <c r="B50" s="43">
        <v>1.2582599999999999</v>
      </c>
      <c r="E50" s="2">
        <f t="shared" si="1"/>
        <v>1.2606797244579342</v>
      </c>
      <c r="F50">
        <f t="shared" si="0"/>
        <v>-2.4197244579342581E-3</v>
      </c>
      <c r="H50" s="1"/>
    </row>
    <row r="51" spans="1:8" x14ac:dyDescent="0.25">
      <c r="A51" s="43">
        <v>1.2800000000000001E-3</v>
      </c>
      <c r="B51" s="43">
        <v>1.2589900000000001</v>
      </c>
      <c r="E51" s="2">
        <f t="shared" si="1"/>
        <v>1.2603415802326841</v>
      </c>
      <c r="F51">
        <f t="shared" si="0"/>
        <v>-1.3515802326840021E-3</v>
      </c>
      <c r="H51" s="1"/>
    </row>
    <row r="52" spans="1:8" x14ac:dyDescent="0.25">
      <c r="A52" s="43">
        <v>1.408E-3</v>
      </c>
      <c r="B52" s="43">
        <v>1.25912</v>
      </c>
      <c r="E52" s="2">
        <f t="shared" si="1"/>
        <v>1.2600076088014123</v>
      </c>
      <c r="F52">
        <f t="shared" si="0"/>
        <v>-8.8760880141225407E-4</v>
      </c>
      <c r="H52" s="1"/>
    </row>
    <row r="53" spans="1:8" x14ac:dyDescent="0.25">
      <c r="A53" s="43">
        <v>1.536E-3</v>
      </c>
      <c r="B53" s="43">
        <v>1.2547999999999999</v>
      </c>
      <c r="E53" s="2">
        <f t="shared" si="1"/>
        <v>1.2596777552465186</v>
      </c>
      <c r="F53">
        <f t="shared" si="0"/>
        <v>-4.877755246518678E-3</v>
      </c>
      <c r="H53" s="1"/>
    </row>
    <row r="54" spans="1:8" x14ac:dyDescent="0.25">
      <c r="A54" s="43">
        <v>1.6639999999999999E-3</v>
      </c>
      <c r="B54" s="43">
        <v>1.2542199999999999</v>
      </c>
      <c r="E54" s="2">
        <f t="shared" si="1"/>
        <v>1.2593519653738685</v>
      </c>
      <c r="F54">
        <f t="shared" si="0"/>
        <v>-5.1319653738686188E-3</v>
      </c>
      <c r="H54" s="1"/>
    </row>
    <row r="55" spans="1:8" x14ac:dyDescent="0.25">
      <c r="A55" s="43">
        <v>1.792E-3</v>
      </c>
      <c r="B55" s="43">
        <v>1.25685</v>
      </c>
      <c r="E55" s="2">
        <f t="shared" si="1"/>
        <v>1.2590301857032624</v>
      </c>
      <c r="F55">
        <f t="shared" si="0"/>
        <v>-2.1801857032623939E-3</v>
      </c>
      <c r="H55" s="1"/>
    </row>
    <row r="56" spans="1:8" x14ac:dyDescent="0.25">
      <c r="A56" s="43">
        <v>1.92E-3</v>
      </c>
      <c r="B56" s="43">
        <v>1.2560500000000001</v>
      </c>
      <c r="E56" s="2">
        <f t="shared" si="1"/>
        <v>1.2587123634590291</v>
      </c>
      <c r="F56">
        <f t="shared" si="0"/>
        <v>-2.6623634590290379E-3</v>
      </c>
      <c r="H56" s="1"/>
    </row>
    <row r="57" spans="1:8" x14ac:dyDescent="0.25">
      <c r="A57" s="43">
        <v>2.0479999999999999E-3</v>
      </c>
      <c r="B57" s="43">
        <v>1.2564900000000001</v>
      </c>
      <c r="E57" s="2">
        <f t="shared" si="1"/>
        <v>1.2583984465607456</v>
      </c>
      <c r="F57">
        <f t="shared" si="0"/>
        <v>-1.9084465607455137E-3</v>
      </c>
      <c r="H57" s="1"/>
    </row>
    <row r="58" spans="1:8" x14ac:dyDescent="0.25">
      <c r="A58" s="43">
        <v>2.3040000000000001E-3</v>
      </c>
      <c r="B58" s="43">
        <v>1.2556099999999999</v>
      </c>
      <c r="E58" s="2">
        <f t="shared" si="1"/>
        <v>1.2577821239017304</v>
      </c>
      <c r="F58">
        <f t="shared" si="0"/>
        <v>-2.1721239017304939E-3</v>
      </c>
      <c r="H58" s="1"/>
    </row>
    <row r="59" spans="1:8" x14ac:dyDescent="0.25">
      <c r="A59" s="43">
        <v>2.5600000000000002E-3</v>
      </c>
      <c r="B59" s="43">
        <v>1.2547999999999999</v>
      </c>
      <c r="E59" s="2">
        <f t="shared" si="1"/>
        <v>1.2571808146427095</v>
      </c>
      <c r="F59">
        <f t="shared" si="0"/>
        <v>-2.3808146427095611E-3</v>
      </c>
      <c r="H59" s="1"/>
    </row>
    <row r="60" spans="1:8" x14ac:dyDescent="0.25">
      <c r="A60" s="43">
        <v>2.8159999999999999E-3</v>
      </c>
      <c r="B60" s="43">
        <v>1.2540199999999999</v>
      </c>
      <c r="E60" s="2">
        <f t="shared" si="1"/>
        <v>1.256594126250328</v>
      </c>
      <c r="F60">
        <f t="shared" si="0"/>
        <v>-2.574126250328046E-3</v>
      </c>
      <c r="H60" s="1"/>
    </row>
    <row r="61" spans="1:8" x14ac:dyDescent="0.25">
      <c r="A61" s="43">
        <v>3.0720000000000001E-3</v>
      </c>
      <c r="B61" s="43">
        <v>1.2533300000000001</v>
      </c>
      <c r="E61" s="2">
        <f t="shared" si="1"/>
        <v>1.2560216764652288</v>
      </c>
      <c r="F61">
        <f t="shared" si="0"/>
        <v>-2.6916764652287206E-3</v>
      </c>
      <c r="H61" s="1"/>
    </row>
    <row r="62" spans="1:8" x14ac:dyDescent="0.25">
      <c r="A62" s="43">
        <v>3.3279999999999998E-3</v>
      </c>
      <c r="B62" s="43">
        <v>1.2513700000000001</v>
      </c>
      <c r="E62" s="2">
        <f t="shared" si="1"/>
        <v>1.2554630930331254</v>
      </c>
      <c r="F62">
        <f t="shared" si="0"/>
        <v>-4.0930930331253279E-3</v>
      </c>
      <c r="H62" s="1"/>
    </row>
    <row r="63" spans="1:8" x14ac:dyDescent="0.25">
      <c r="A63" s="43">
        <v>3.5839999999999999E-3</v>
      </c>
      <c r="B63" s="43">
        <v>1.25278</v>
      </c>
      <c r="E63" s="2">
        <f t="shared" si="1"/>
        <v>1.2549180134429172</v>
      </c>
      <c r="F63">
        <f t="shared" si="0"/>
        <v>-2.1380134429171971E-3</v>
      </c>
      <c r="H63" s="1"/>
    </row>
    <row r="64" spans="1:8" x14ac:dyDescent="0.25">
      <c r="A64" s="43">
        <v>3.8400000000000001E-3</v>
      </c>
      <c r="B64" s="43">
        <v>1.25145</v>
      </c>
      <c r="E64" s="2">
        <f t="shared" si="1"/>
        <v>1.2543860846716557</v>
      </c>
      <c r="F64">
        <f t="shared" si="0"/>
        <v>-2.9360846716557365E-3</v>
      </c>
      <c r="H64" s="1"/>
    </row>
    <row r="65" spans="1:8" x14ac:dyDescent="0.25">
      <c r="A65" s="43">
        <v>4.0959999999999998E-3</v>
      </c>
      <c r="B65" s="43">
        <v>1.2522899999999999</v>
      </c>
      <c r="E65" s="2">
        <f t="shared" si="1"/>
        <v>1.2538669629361914</v>
      </c>
      <c r="F65">
        <f t="shared" si="0"/>
        <v>-1.5769629361914728E-3</v>
      </c>
      <c r="H65" s="1"/>
    </row>
    <row r="66" spans="1:8" x14ac:dyDescent="0.25">
      <c r="A66" s="43">
        <v>4.6080000000000001E-3</v>
      </c>
      <c r="B66" s="43">
        <v>1.2514700000000001</v>
      </c>
      <c r="E66" s="2">
        <f t="shared" si="1"/>
        <v>1.2528658101942511</v>
      </c>
      <c r="F66">
        <f t="shared" ref="F66:F129" si="2">B66-E66</f>
        <v>-1.395810194251057E-3</v>
      </c>
      <c r="H66" s="1"/>
    </row>
    <row r="67" spans="1:8" x14ac:dyDescent="0.25">
      <c r="A67" s="43">
        <v>5.1200000000000004E-3</v>
      </c>
      <c r="B67" s="43">
        <v>1.2490300000000001</v>
      </c>
      <c r="E67" s="2">
        <f t="shared" ref="E67:E130" si="3">$D$2+1/$D$3*($D$8/(1+A67/$D$4)/SQRT(1+A67/$D$4/$D$5/$D$5)+(1-$D$8)/(1+A67/$D$6)/SQRT(1+A67/$D$6/$D$7/$D$7))*(1+$D$9*EXP(-A67/$D$10)+$D$11*EXP(-A67/$D$12))</f>
        <v>1.2519119807143497</v>
      </c>
      <c r="F67">
        <f t="shared" si="2"/>
        <v>-2.8819807143496412E-3</v>
      </c>
      <c r="H67" s="1"/>
    </row>
    <row r="68" spans="1:8" x14ac:dyDescent="0.25">
      <c r="A68" s="43">
        <v>5.6319999999999999E-3</v>
      </c>
      <c r="B68" s="43">
        <v>1.2485599999999999</v>
      </c>
      <c r="E68" s="2">
        <f t="shared" si="3"/>
        <v>1.2510030329958461</v>
      </c>
      <c r="F68">
        <f t="shared" si="2"/>
        <v>-2.4430329958462504E-3</v>
      </c>
      <c r="H68" s="1"/>
    </row>
    <row r="69" spans="1:8" x14ac:dyDescent="0.25">
      <c r="A69" s="43">
        <v>6.1440000000000002E-3</v>
      </c>
      <c r="B69" s="43">
        <v>1.24926</v>
      </c>
      <c r="E69" s="2">
        <f t="shared" si="3"/>
        <v>1.2501366516686381</v>
      </c>
      <c r="F69">
        <f t="shared" si="2"/>
        <v>-8.7665166863803989E-4</v>
      </c>
      <c r="H69" s="1"/>
    </row>
    <row r="70" spans="1:8" x14ac:dyDescent="0.25">
      <c r="A70" s="43">
        <v>6.6559999999999996E-3</v>
      </c>
      <c r="B70" s="43">
        <v>1.2486200000000001</v>
      </c>
      <c r="E70" s="2">
        <f t="shared" si="3"/>
        <v>1.2493106409766337</v>
      </c>
      <c r="F70">
        <f t="shared" si="2"/>
        <v>-6.9064097663362745E-4</v>
      </c>
      <c r="H70" s="1"/>
    </row>
    <row r="71" spans="1:8" x14ac:dyDescent="0.25">
      <c r="A71" s="43">
        <v>7.1679999999999999E-3</v>
      </c>
      <c r="B71" s="43">
        <v>1.24726</v>
      </c>
      <c r="E71" s="2">
        <f t="shared" si="3"/>
        <v>1.2485229185979148</v>
      </c>
      <c r="F71">
        <f t="shared" si="2"/>
        <v>-1.2629185979147195E-3</v>
      </c>
      <c r="H71" s="1"/>
    </row>
    <row r="72" spans="1:8" x14ac:dyDescent="0.25">
      <c r="A72" s="43">
        <v>7.6800000000000002E-3</v>
      </c>
      <c r="B72" s="43">
        <v>1.2454799999999999</v>
      </c>
      <c r="E72" s="2">
        <f t="shared" si="3"/>
        <v>1.2477715097841973</v>
      </c>
      <c r="F72">
        <f t="shared" si="2"/>
        <v>-2.2915097841973431E-3</v>
      </c>
      <c r="H72" s="1"/>
    </row>
    <row r="73" spans="1:8" x14ac:dyDescent="0.25">
      <c r="A73" s="43">
        <v>8.1919999999999996E-3</v>
      </c>
      <c r="B73" s="43">
        <v>1.2468699999999999</v>
      </c>
      <c r="E73" s="2">
        <f t="shared" si="3"/>
        <v>1.2470545418030883</v>
      </c>
      <c r="F73">
        <f t="shared" si="2"/>
        <v>-1.845418030883561E-4</v>
      </c>
      <c r="H73" s="1"/>
    </row>
    <row r="74" spans="1:8" x14ac:dyDescent="0.25">
      <c r="A74" s="43">
        <v>9.2160000000000002E-3</v>
      </c>
      <c r="B74" s="43">
        <v>1.24525</v>
      </c>
      <c r="E74" s="2">
        <f t="shared" si="3"/>
        <v>1.2457169161373598</v>
      </c>
      <c r="F74">
        <f t="shared" si="2"/>
        <v>-4.6691613735982962E-4</v>
      </c>
      <c r="H74" s="1"/>
    </row>
    <row r="75" spans="1:8" x14ac:dyDescent="0.25">
      <c r="A75" s="43">
        <v>1.0240000000000001E-2</v>
      </c>
      <c r="B75" s="43">
        <v>1.2447999999999999</v>
      </c>
      <c r="E75" s="2">
        <f t="shared" si="3"/>
        <v>1.2444969064730493</v>
      </c>
      <c r="F75">
        <f t="shared" si="2"/>
        <v>3.0309352695057079E-4</v>
      </c>
      <c r="H75" s="1"/>
    </row>
    <row r="76" spans="1:8" x14ac:dyDescent="0.25">
      <c r="A76" s="43">
        <v>1.1264E-2</v>
      </c>
      <c r="B76" s="43">
        <v>1.2441500000000001</v>
      </c>
      <c r="E76" s="2">
        <f t="shared" si="3"/>
        <v>1.2433826997310189</v>
      </c>
      <c r="F76">
        <f t="shared" si="2"/>
        <v>7.6730026898119696E-4</v>
      </c>
      <c r="H76" s="1"/>
    </row>
    <row r="77" spans="1:8" x14ac:dyDescent="0.25">
      <c r="A77" s="43">
        <v>1.2288E-2</v>
      </c>
      <c r="B77" s="43">
        <v>1.2440100000000001</v>
      </c>
      <c r="E77" s="2">
        <f t="shared" si="3"/>
        <v>1.2423636718053563</v>
      </c>
      <c r="F77">
        <f t="shared" si="2"/>
        <v>1.6463281946437203E-3</v>
      </c>
      <c r="H77" s="1"/>
    </row>
    <row r="78" spans="1:8" x14ac:dyDescent="0.25">
      <c r="A78" s="43">
        <v>1.3311999999999999E-2</v>
      </c>
      <c r="B78" s="43">
        <v>1.24342</v>
      </c>
      <c r="E78" s="2">
        <f t="shared" si="3"/>
        <v>1.241430267883838</v>
      </c>
      <c r="F78">
        <f t="shared" si="2"/>
        <v>1.9897321161619352E-3</v>
      </c>
      <c r="H78" s="1"/>
    </row>
    <row r="79" spans="1:8" x14ac:dyDescent="0.25">
      <c r="A79" s="43">
        <v>1.4336E-2</v>
      </c>
      <c r="B79" s="43">
        <v>1.24308</v>
      </c>
      <c r="E79" s="2">
        <f t="shared" si="3"/>
        <v>1.2405738948156448</v>
      </c>
      <c r="F79">
        <f t="shared" si="2"/>
        <v>2.506105184355123E-3</v>
      </c>
      <c r="H79" s="1"/>
    </row>
    <row r="80" spans="1:8" x14ac:dyDescent="0.25">
      <c r="A80" s="43">
        <v>1.536E-2</v>
      </c>
      <c r="B80" s="43">
        <v>1.24353</v>
      </c>
      <c r="E80" s="2">
        <f t="shared" si="3"/>
        <v>1.2397868243135723</v>
      </c>
      <c r="F80">
        <f t="shared" si="2"/>
        <v>3.7431756864276799E-3</v>
      </c>
      <c r="H80" s="1"/>
    </row>
    <row r="81" spans="1:8" x14ac:dyDescent="0.25">
      <c r="A81" s="43">
        <v>1.6383999999999999E-2</v>
      </c>
      <c r="B81" s="43">
        <v>1.2425999999999999</v>
      </c>
      <c r="E81" s="2">
        <f t="shared" si="3"/>
        <v>1.2390621059000548</v>
      </c>
      <c r="F81">
        <f t="shared" si="2"/>
        <v>3.5378940999450936E-3</v>
      </c>
      <c r="H81" s="1"/>
    </row>
    <row r="82" spans="1:8" x14ac:dyDescent="0.25">
      <c r="A82" s="43">
        <v>1.8432E-2</v>
      </c>
      <c r="B82" s="43">
        <v>1.24197</v>
      </c>
      <c r="E82" s="2">
        <f t="shared" si="3"/>
        <v>1.2377753506112645</v>
      </c>
      <c r="F82">
        <f t="shared" si="2"/>
        <v>4.194649388735483E-3</v>
      </c>
      <c r="H82" s="1"/>
    </row>
    <row r="83" spans="1:8" x14ac:dyDescent="0.25">
      <c r="A83" s="43">
        <v>2.0480000000000002E-2</v>
      </c>
      <c r="B83" s="43">
        <v>1.2410399999999999</v>
      </c>
      <c r="E83" s="2">
        <f t="shared" si="3"/>
        <v>1.2366707970161241</v>
      </c>
      <c r="F83">
        <f t="shared" si="2"/>
        <v>4.3692029838757751E-3</v>
      </c>
      <c r="H83" s="1"/>
    </row>
    <row r="84" spans="1:8" x14ac:dyDescent="0.25">
      <c r="A84" s="43">
        <v>2.2527999999999999E-2</v>
      </c>
      <c r="B84" s="43">
        <v>1.23997</v>
      </c>
      <c r="E84" s="2">
        <f t="shared" si="3"/>
        <v>1.2357138004971113</v>
      </c>
      <c r="F84">
        <f t="shared" si="2"/>
        <v>4.2561995028886912E-3</v>
      </c>
      <c r="H84" s="1"/>
    </row>
    <row r="85" spans="1:8" x14ac:dyDescent="0.25">
      <c r="A85" s="43">
        <v>2.4576000000000001E-2</v>
      </c>
      <c r="B85" s="43">
        <v>1.23868</v>
      </c>
      <c r="E85" s="2">
        <f t="shared" si="3"/>
        <v>1.2348763385363677</v>
      </c>
      <c r="F85">
        <f t="shared" si="2"/>
        <v>3.8036614636323129E-3</v>
      </c>
      <c r="H85" s="1"/>
    </row>
    <row r="86" spans="1:8" x14ac:dyDescent="0.25">
      <c r="A86" s="43">
        <v>2.6623999999999998E-2</v>
      </c>
      <c r="B86" s="43">
        <v>1.23899</v>
      </c>
      <c r="E86" s="2">
        <f t="shared" si="3"/>
        <v>1.2341357447439707</v>
      </c>
      <c r="F86">
        <f t="shared" si="2"/>
        <v>4.8542552560293384E-3</v>
      </c>
      <c r="H86" s="1"/>
    </row>
    <row r="87" spans="1:8" x14ac:dyDescent="0.25">
      <c r="A87" s="43">
        <v>2.8672E-2</v>
      </c>
      <c r="B87" s="43">
        <v>1.2372799999999999</v>
      </c>
      <c r="E87" s="2">
        <f t="shared" si="3"/>
        <v>1.2334736849173897</v>
      </c>
      <c r="F87">
        <f t="shared" si="2"/>
        <v>3.806315082610201E-3</v>
      </c>
      <c r="H87" s="1"/>
    </row>
    <row r="88" spans="1:8" x14ac:dyDescent="0.25">
      <c r="A88" s="43">
        <v>3.0720000000000001E-2</v>
      </c>
      <c r="B88" s="43">
        <v>1.2369399999999999</v>
      </c>
      <c r="E88" s="2">
        <f t="shared" si="3"/>
        <v>1.2328753288581935</v>
      </c>
      <c r="F88">
        <f t="shared" si="2"/>
        <v>4.0646711418064196E-3</v>
      </c>
      <c r="H88" s="1"/>
    </row>
    <row r="89" spans="1:8" x14ac:dyDescent="0.25">
      <c r="A89" s="43">
        <v>3.2767999999999999E-2</v>
      </c>
      <c r="B89" s="43">
        <v>1.23658</v>
      </c>
      <c r="E89" s="2">
        <f t="shared" si="3"/>
        <v>1.2323286805195519</v>
      </c>
      <c r="F89">
        <f t="shared" si="2"/>
        <v>4.2513194804481014E-3</v>
      </c>
      <c r="H89" s="1"/>
    </row>
    <row r="90" spans="1:8" x14ac:dyDescent="0.25">
      <c r="A90" s="43">
        <v>3.6864000000000001E-2</v>
      </c>
      <c r="B90" s="43">
        <v>1.23543</v>
      </c>
      <c r="E90" s="2">
        <f t="shared" si="3"/>
        <v>1.2313535463974192</v>
      </c>
      <c r="F90">
        <f t="shared" si="2"/>
        <v>4.0764536025807985E-3</v>
      </c>
      <c r="H90" s="1"/>
    </row>
    <row r="91" spans="1:8" x14ac:dyDescent="0.25">
      <c r="A91" s="43">
        <v>4.0960000000000003E-2</v>
      </c>
      <c r="B91" s="43">
        <v>1.2336800000000001</v>
      </c>
      <c r="E91" s="2">
        <f t="shared" si="3"/>
        <v>1.2304908438930655</v>
      </c>
      <c r="F91">
        <f t="shared" si="2"/>
        <v>3.1891561069345986E-3</v>
      </c>
      <c r="H91" s="1"/>
    </row>
    <row r="92" spans="1:8" x14ac:dyDescent="0.25">
      <c r="A92" s="43">
        <v>4.5055999999999999E-2</v>
      </c>
      <c r="B92" s="43">
        <v>1.2330399999999999</v>
      </c>
      <c r="E92" s="2">
        <f t="shared" si="3"/>
        <v>1.2297029836118243</v>
      </c>
      <c r="F92">
        <f t="shared" si="2"/>
        <v>3.3370163881756287E-3</v>
      </c>
      <c r="H92" s="1"/>
    </row>
    <row r="93" spans="1:8" x14ac:dyDescent="0.25">
      <c r="A93" s="43">
        <v>4.9152000000000001E-2</v>
      </c>
      <c r="B93" s="43">
        <v>1.2314400000000001</v>
      </c>
      <c r="E93" s="2">
        <f t="shared" si="3"/>
        <v>1.228965362127473</v>
      </c>
      <c r="F93">
        <f t="shared" si="2"/>
        <v>2.4746378725271079E-3</v>
      </c>
      <c r="H93" s="1"/>
    </row>
    <row r="94" spans="1:8" x14ac:dyDescent="0.25">
      <c r="A94" s="43">
        <v>5.3247999999999997E-2</v>
      </c>
      <c r="B94" s="43">
        <v>1.23098</v>
      </c>
      <c r="E94" s="2">
        <f t="shared" si="3"/>
        <v>1.228261871930453</v>
      </c>
      <c r="F94">
        <f t="shared" si="2"/>
        <v>2.7181280695469656E-3</v>
      </c>
      <c r="H94" s="1"/>
    </row>
    <row r="95" spans="1:8" x14ac:dyDescent="0.25">
      <c r="A95" s="43">
        <v>5.7343999999999999E-2</v>
      </c>
      <c r="B95" s="43">
        <v>1.2302500000000001</v>
      </c>
      <c r="E95" s="2">
        <f t="shared" si="3"/>
        <v>1.2275819639542085</v>
      </c>
      <c r="F95">
        <f t="shared" si="2"/>
        <v>2.6680360457915775E-3</v>
      </c>
      <c r="H95" s="1"/>
    </row>
    <row r="96" spans="1:8" x14ac:dyDescent="0.25">
      <c r="A96" s="43">
        <v>6.1440000000000002E-2</v>
      </c>
      <c r="B96" s="43">
        <v>1.2289099999999999</v>
      </c>
      <c r="E96" s="2">
        <f t="shared" si="3"/>
        <v>1.2269187258088965</v>
      </c>
      <c r="F96">
        <f t="shared" si="2"/>
        <v>1.9912741911034537E-3</v>
      </c>
      <c r="H96" s="1"/>
    </row>
    <row r="97" spans="1:8" x14ac:dyDescent="0.25">
      <c r="A97" s="43">
        <v>6.5535999999999997E-2</v>
      </c>
      <c r="B97" s="43">
        <v>1.22786</v>
      </c>
      <c r="E97" s="2">
        <f t="shared" si="3"/>
        <v>1.2262676245038324</v>
      </c>
      <c r="F97">
        <f t="shared" si="2"/>
        <v>1.5923754961675307E-3</v>
      </c>
      <c r="H97" s="1"/>
    </row>
    <row r="98" spans="1:8" x14ac:dyDescent="0.25">
      <c r="A98" s="43">
        <v>7.3728000000000002E-2</v>
      </c>
      <c r="B98" s="43">
        <v>1.2260200000000001</v>
      </c>
      <c r="E98" s="2">
        <f t="shared" si="3"/>
        <v>1.22499094651243</v>
      </c>
      <c r="F98">
        <f t="shared" si="2"/>
        <v>1.0290534875700974E-3</v>
      </c>
      <c r="H98" s="1"/>
    </row>
    <row r="99" spans="1:8" x14ac:dyDescent="0.25">
      <c r="A99" s="43">
        <v>8.1920000000000007E-2</v>
      </c>
      <c r="B99" s="43">
        <v>1.22451</v>
      </c>
      <c r="E99" s="2">
        <f t="shared" si="3"/>
        <v>1.2237383543029139</v>
      </c>
      <c r="F99">
        <f t="shared" si="2"/>
        <v>7.7164569708609854E-4</v>
      </c>
      <c r="H99" s="1"/>
    </row>
    <row r="100" spans="1:8" x14ac:dyDescent="0.25">
      <c r="A100" s="43">
        <v>9.0111999999999998E-2</v>
      </c>
      <c r="B100" s="43">
        <v>1.22241</v>
      </c>
      <c r="E100" s="2">
        <f t="shared" si="3"/>
        <v>1.2225039039054471</v>
      </c>
      <c r="F100">
        <f t="shared" si="2"/>
        <v>-9.3903905447056957E-5</v>
      </c>
      <c r="H100" s="1"/>
    </row>
    <row r="101" spans="1:8" x14ac:dyDescent="0.25">
      <c r="A101" s="43">
        <v>9.8304000000000002E-2</v>
      </c>
      <c r="B101" s="43">
        <v>1.2208399999999999</v>
      </c>
      <c r="E101" s="2">
        <f t="shared" si="3"/>
        <v>1.2212849212067767</v>
      </c>
      <c r="F101">
        <f t="shared" si="2"/>
        <v>-4.449212067767494E-4</v>
      </c>
      <c r="H101" s="1"/>
    </row>
    <row r="102" spans="1:8" x14ac:dyDescent="0.25">
      <c r="A102" s="43">
        <v>0.10649599999999999</v>
      </c>
      <c r="B102" s="43">
        <v>1.2192700000000001</v>
      </c>
      <c r="E102" s="2">
        <f t="shared" si="3"/>
        <v>1.220080134721139</v>
      </c>
      <c r="F102">
        <f t="shared" si="2"/>
        <v>-8.1013472113888874E-4</v>
      </c>
      <c r="H102" s="1"/>
    </row>
    <row r="103" spans="1:8" x14ac:dyDescent="0.25">
      <c r="A103" s="43">
        <v>0.114688</v>
      </c>
      <c r="B103" s="43">
        <v>1.21777</v>
      </c>
      <c r="E103" s="2">
        <f t="shared" si="3"/>
        <v>1.2188888761934851</v>
      </c>
      <c r="F103">
        <f t="shared" si="2"/>
        <v>-1.1188761934850522E-3</v>
      </c>
      <c r="H103" s="1"/>
    </row>
    <row r="104" spans="1:8" x14ac:dyDescent="0.25">
      <c r="A104" s="43">
        <v>0.12288</v>
      </c>
      <c r="B104" s="43">
        <v>1.2159599999999999</v>
      </c>
      <c r="E104" s="2">
        <f t="shared" si="3"/>
        <v>1.2177107383092372</v>
      </c>
      <c r="F104">
        <f t="shared" si="2"/>
        <v>-1.7507383092372208E-3</v>
      </c>
      <c r="H104" s="1"/>
    </row>
    <row r="105" spans="1:8" x14ac:dyDescent="0.25">
      <c r="A105" s="43">
        <v>0.13107199999999999</v>
      </c>
      <c r="B105" s="43">
        <v>1.2144999999999999</v>
      </c>
      <c r="E105" s="2">
        <f t="shared" si="3"/>
        <v>1.2165454280853158</v>
      </c>
      <c r="F105">
        <f t="shared" si="2"/>
        <v>-2.0454280853159368E-3</v>
      </c>
      <c r="H105" s="1"/>
    </row>
    <row r="106" spans="1:8" x14ac:dyDescent="0.25">
      <c r="A106" s="43">
        <v>0.147456</v>
      </c>
      <c r="B106" s="43">
        <v>1.2119200000000001</v>
      </c>
      <c r="E106" s="2">
        <f t="shared" si="3"/>
        <v>1.2142523491916524</v>
      </c>
      <c r="F106">
        <f t="shared" si="2"/>
        <v>-2.332349191652261E-3</v>
      </c>
      <c r="H106" s="1"/>
    </row>
    <row r="107" spans="1:8" x14ac:dyDescent="0.25">
      <c r="A107" s="43">
        <v>0.16384000000000001</v>
      </c>
      <c r="B107" s="43">
        <v>1.2088099999999999</v>
      </c>
      <c r="E107" s="2">
        <f t="shared" si="3"/>
        <v>1.2120079388073335</v>
      </c>
      <c r="F107">
        <f t="shared" si="2"/>
        <v>-3.1979388073335446E-3</v>
      </c>
      <c r="H107" s="1"/>
    </row>
    <row r="108" spans="1:8" x14ac:dyDescent="0.25">
      <c r="A108" s="43">
        <v>0.180224</v>
      </c>
      <c r="B108" s="43">
        <v>1.20648</v>
      </c>
      <c r="E108" s="2">
        <f t="shared" si="3"/>
        <v>1.2098106469382168</v>
      </c>
      <c r="F108">
        <f t="shared" si="2"/>
        <v>-3.3306469382168302E-3</v>
      </c>
      <c r="H108" s="1"/>
    </row>
    <row r="109" spans="1:8" x14ac:dyDescent="0.25">
      <c r="A109" s="43">
        <v>0.196608</v>
      </c>
      <c r="B109" s="43">
        <v>1.2041900000000001</v>
      </c>
      <c r="E109" s="2">
        <f t="shared" si="3"/>
        <v>1.207659002520417</v>
      </c>
      <c r="F109">
        <f t="shared" si="2"/>
        <v>-3.4690025204169306E-3</v>
      </c>
      <c r="H109" s="1"/>
    </row>
    <row r="110" spans="1:8" x14ac:dyDescent="0.25">
      <c r="A110" s="43">
        <v>0.21299199999999999</v>
      </c>
      <c r="B110" s="43">
        <v>1.2017100000000001</v>
      </c>
      <c r="E110" s="2">
        <f t="shared" si="3"/>
        <v>1.2055515976304692</v>
      </c>
      <c r="F110">
        <f t="shared" si="2"/>
        <v>-3.8415976304690957E-3</v>
      </c>
      <c r="H110" s="1"/>
    </row>
    <row r="111" spans="1:8" x14ac:dyDescent="0.25">
      <c r="A111" s="43">
        <v>0.229376</v>
      </c>
      <c r="B111" s="43">
        <v>1.1994</v>
      </c>
      <c r="E111" s="2">
        <f t="shared" si="3"/>
        <v>1.2034870821208767</v>
      </c>
      <c r="F111">
        <f t="shared" si="2"/>
        <v>-4.0870821208767172E-3</v>
      </c>
      <c r="H111" s="1"/>
    </row>
    <row r="112" spans="1:8" x14ac:dyDescent="0.25">
      <c r="A112" s="43">
        <v>0.24576000000000001</v>
      </c>
      <c r="B112" s="43">
        <v>1.1973100000000001</v>
      </c>
      <c r="E112" s="2">
        <f t="shared" si="3"/>
        <v>1.2014641603160774</v>
      </c>
      <c r="F112">
        <f t="shared" si="2"/>
        <v>-4.1541603160772933E-3</v>
      </c>
      <c r="H112" s="1"/>
    </row>
    <row r="113" spans="1:8" x14ac:dyDescent="0.25">
      <c r="A113" s="43">
        <v>0.26214399999999999</v>
      </c>
      <c r="B113" s="43">
        <v>1.19502</v>
      </c>
      <c r="E113" s="2">
        <f t="shared" si="3"/>
        <v>1.1994815882247052</v>
      </c>
      <c r="F113">
        <f t="shared" si="2"/>
        <v>-4.4615882247052152E-3</v>
      </c>
      <c r="H113" s="1"/>
    </row>
    <row r="114" spans="1:8" x14ac:dyDescent="0.25">
      <c r="A114" s="43">
        <v>0.29491200000000001</v>
      </c>
      <c r="B114" s="43">
        <v>1.1910499999999999</v>
      </c>
      <c r="E114" s="2">
        <f t="shared" si="3"/>
        <v>1.1956327604140078</v>
      </c>
      <c r="F114">
        <f t="shared" si="2"/>
        <v>-4.5827604140078471E-3</v>
      </c>
      <c r="H114" s="1"/>
    </row>
    <row r="115" spans="1:8" x14ac:dyDescent="0.25">
      <c r="A115" s="43">
        <v>0.32768000000000003</v>
      </c>
      <c r="B115" s="43">
        <v>1.1872799999999999</v>
      </c>
      <c r="E115" s="2">
        <f t="shared" si="3"/>
        <v>1.1919315868840024</v>
      </c>
      <c r="F115">
        <f t="shared" si="2"/>
        <v>-4.6515868840024677E-3</v>
      </c>
      <c r="H115" s="1"/>
    </row>
    <row r="116" spans="1:8" x14ac:dyDescent="0.25">
      <c r="A116" s="43">
        <v>0.36044799999999999</v>
      </c>
      <c r="B116" s="43">
        <v>1.1837200000000001</v>
      </c>
      <c r="E116" s="2">
        <f t="shared" si="3"/>
        <v>1.1883697339943329</v>
      </c>
      <c r="F116">
        <f t="shared" si="2"/>
        <v>-4.649733994332772E-3</v>
      </c>
      <c r="H116" s="1"/>
    </row>
    <row r="117" spans="1:8" x14ac:dyDescent="0.25">
      <c r="A117" s="43">
        <v>0.39321600000000001</v>
      </c>
      <c r="B117" s="43">
        <v>1.1803600000000001</v>
      </c>
      <c r="E117" s="2">
        <f t="shared" si="3"/>
        <v>1.1849394836538629</v>
      </c>
      <c r="F117">
        <f t="shared" si="2"/>
        <v>-4.5794836538628481E-3</v>
      </c>
      <c r="H117" s="1"/>
    </row>
    <row r="118" spans="1:8" x14ac:dyDescent="0.25">
      <c r="A118" s="43">
        <v>0.42598399999999997</v>
      </c>
      <c r="B118" s="43">
        <v>1.17737</v>
      </c>
      <c r="E118" s="2">
        <f t="shared" si="3"/>
        <v>1.1816336775180711</v>
      </c>
      <c r="F118">
        <f t="shared" si="2"/>
        <v>-4.2636775180711073E-3</v>
      </c>
      <c r="H118" s="1"/>
    </row>
    <row r="119" spans="1:8" x14ac:dyDescent="0.25">
      <c r="A119" s="43">
        <v>0.45875199999999999</v>
      </c>
      <c r="B119" s="43">
        <v>1.17432</v>
      </c>
      <c r="E119" s="2">
        <f t="shared" si="3"/>
        <v>1.1784456671489099</v>
      </c>
      <c r="F119">
        <f t="shared" si="2"/>
        <v>-4.1256671489098284E-3</v>
      </c>
      <c r="H119" s="1"/>
    </row>
    <row r="120" spans="1:8" x14ac:dyDescent="0.25">
      <c r="A120" s="43">
        <v>0.49152000000000001</v>
      </c>
      <c r="B120" s="43">
        <v>1.1714100000000001</v>
      </c>
      <c r="E120" s="2">
        <f t="shared" si="3"/>
        <v>1.1753692694068438</v>
      </c>
      <c r="F120">
        <f t="shared" si="2"/>
        <v>-3.9592694068437684E-3</v>
      </c>
      <c r="H120" s="1"/>
    </row>
    <row r="121" spans="1:8" x14ac:dyDescent="0.25">
      <c r="A121" s="43">
        <v>0.52428799999999998</v>
      </c>
      <c r="B121" s="43">
        <v>1.1686399999999999</v>
      </c>
      <c r="E121" s="2">
        <f t="shared" si="3"/>
        <v>1.1723987264452664</v>
      </c>
      <c r="F121">
        <f t="shared" si="2"/>
        <v>-3.7587264452665359E-3</v>
      </c>
      <c r="H121" s="1"/>
    </row>
    <row r="122" spans="1:8" x14ac:dyDescent="0.25">
      <c r="A122" s="43">
        <v>0.58982400000000001</v>
      </c>
      <c r="B122" s="43">
        <v>1.1633599999999999</v>
      </c>
      <c r="E122" s="2">
        <f t="shared" si="3"/>
        <v>1.1667540878404279</v>
      </c>
      <c r="F122">
        <f t="shared" si="2"/>
        <v>-3.3940878404279395E-3</v>
      </c>
      <c r="H122" s="1"/>
    </row>
    <row r="123" spans="1:8" x14ac:dyDescent="0.25">
      <c r="A123" s="43">
        <v>0.65536000000000005</v>
      </c>
      <c r="B123" s="43">
        <v>1.1585799999999999</v>
      </c>
      <c r="E123" s="2">
        <f t="shared" si="3"/>
        <v>1.1614729148115026</v>
      </c>
      <c r="F123">
        <f t="shared" si="2"/>
        <v>-2.892914811502667E-3</v>
      </c>
      <c r="H123" s="1"/>
    </row>
    <row r="124" spans="1:8" x14ac:dyDescent="0.25">
      <c r="A124" s="43">
        <v>0.72089599999999998</v>
      </c>
      <c r="B124" s="43">
        <v>1.1541699999999999</v>
      </c>
      <c r="E124" s="2">
        <f t="shared" si="3"/>
        <v>1.1565212137355254</v>
      </c>
      <c r="F124">
        <f t="shared" si="2"/>
        <v>-2.3512137355254925E-3</v>
      </c>
      <c r="H124" s="1"/>
    </row>
    <row r="125" spans="1:8" x14ac:dyDescent="0.25">
      <c r="A125" s="43">
        <v>0.78643200000000002</v>
      </c>
      <c r="B125" s="43">
        <v>1.1499900000000001</v>
      </c>
      <c r="E125" s="2">
        <f t="shared" si="3"/>
        <v>1.151869101827081</v>
      </c>
      <c r="F125">
        <f t="shared" si="2"/>
        <v>-1.8791018270809534E-3</v>
      </c>
      <c r="H125" s="1"/>
    </row>
    <row r="126" spans="1:8" x14ac:dyDescent="0.25">
      <c r="A126" s="43">
        <v>0.85196799999999995</v>
      </c>
      <c r="B126" s="43">
        <v>1.1461399999999999</v>
      </c>
      <c r="E126" s="2">
        <f t="shared" si="3"/>
        <v>1.1474902039711197</v>
      </c>
      <c r="F126">
        <f t="shared" si="2"/>
        <v>-1.3502039711197344E-3</v>
      </c>
      <c r="H126" s="1"/>
    </row>
    <row r="127" spans="1:8" x14ac:dyDescent="0.25">
      <c r="A127" s="43">
        <v>0.91750399999999999</v>
      </c>
      <c r="B127" s="43">
        <v>1.14238</v>
      </c>
      <c r="E127" s="2">
        <f t="shared" si="3"/>
        <v>1.1433611527285859</v>
      </c>
      <c r="F127">
        <f t="shared" si="2"/>
        <v>-9.8115272858589897E-4</v>
      </c>
      <c r="H127" s="1"/>
    </row>
    <row r="128" spans="1:8" x14ac:dyDescent="0.25">
      <c r="A128" s="43">
        <v>0.98304000000000002</v>
      </c>
      <c r="B128" s="43">
        <v>1.139</v>
      </c>
      <c r="E128" s="2">
        <f t="shared" si="3"/>
        <v>1.1394611714963558</v>
      </c>
      <c r="F128">
        <f t="shared" si="2"/>
        <v>-4.6117149635582777E-4</v>
      </c>
      <c r="H128" s="1"/>
    </row>
    <row r="129" spans="1:8" x14ac:dyDescent="0.25">
      <c r="A129" s="43">
        <v>1.048576</v>
      </c>
      <c r="B129" s="43">
        <v>1.1357200000000001</v>
      </c>
      <c r="E129" s="2">
        <f t="shared" si="3"/>
        <v>1.1357717251222983</v>
      </c>
      <c r="F129">
        <f t="shared" si="2"/>
        <v>-5.1725122298229564E-5</v>
      </c>
      <c r="H129" s="1"/>
    </row>
    <row r="130" spans="1:8" x14ac:dyDescent="0.25">
      <c r="A130" s="43">
        <v>1.179648</v>
      </c>
      <c r="B130" s="43">
        <v>1.1294900000000001</v>
      </c>
      <c r="E130" s="2">
        <f t="shared" si="3"/>
        <v>1.1289597828038476</v>
      </c>
      <c r="F130">
        <f t="shared" ref="F130:F193" si="4">B130-E130</f>
        <v>5.3021719615253815E-4</v>
      </c>
      <c r="H130" s="1"/>
    </row>
    <row r="131" spans="1:8" x14ac:dyDescent="0.25">
      <c r="A131" s="43">
        <v>1.3107200000000001</v>
      </c>
      <c r="B131" s="43">
        <v>1.1238900000000001</v>
      </c>
      <c r="E131" s="2">
        <f t="shared" ref="E131:E194" si="5">$D$2+1/$D$3*($D$8/(1+A131/$D$4)/SQRT(1+A131/$D$4/$D$5/$D$5)+(1-$D$8)/(1+A131/$D$6)/SQRT(1+A131/$D$6/$D$7/$D$7))*(1+$D$9*EXP(-A131/$D$10)+$D$11*EXP(-A131/$D$12))</f>
        <v>1.1228117572103817</v>
      </c>
      <c r="F131">
        <f t="shared" si="4"/>
        <v>1.0782427896183222E-3</v>
      </c>
      <c r="H131" s="1"/>
    </row>
    <row r="132" spans="1:8" x14ac:dyDescent="0.25">
      <c r="A132" s="43">
        <v>1.441792</v>
      </c>
      <c r="B132" s="43">
        <v>1.1188800000000001</v>
      </c>
      <c r="E132" s="2">
        <f t="shared" si="5"/>
        <v>1.1172351710295445</v>
      </c>
      <c r="F132">
        <f t="shared" si="4"/>
        <v>1.6448289704555918E-3</v>
      </c>
      <c r="H132" s="1"/>
    </row>
    <row r="133" spans="1:8" x14ac:dyDescent="0.25">
      <c r="A133" s="43">
        <v>1.572864</v>
      </c>
      <c r="B133" s="43">
        <v>1.1143400000000001</v>
      </c>
      <c r="E133" s="2">
        <f t="shared" si="5"/>
        <v>1.112153959271091</v>
      </c>
      <c r="F133">
        <f t="shared" si="4"/>
        <v>2.1860407289091555E-3</v>
      </c>
      <c r="H133" s="1"/>
    </row>
    <row r="134" spans="1:8" x14ac:dyDescent="0.25">
      <c r="A134" s="43">
        <v>1.7039359999999999</v>
      </c>
      <c r="B134" s="43">
        <v>1.1099399999999999</v>
      </c>
      <c r="E134" s="2">
        <f t="shared" si="5"/>
        <v>1.1075049830020554</v>
      </c>
      <c r="F134">
        <f t="shared" si="4"/>
        <v>2.4350169979445724E-3</v>
      </c>
      <c r="H134" s="1"/>
    </row>
    <row r="135" spans="1:8" x14ac:dyDescent="0.25">
      <c r="A135" s="43">
        <v>1.835008</v>
      </c>
      <c r="B135" s="43">
        <v>1.1060700000000001</v>
      </c>
      <c r="E135" s="2">
        <f t="shared" si="5"/>
        <v>1.1032353955197847</v>
      </c>
      <c r="F135">
        <f t="shared" si="4"/>
        <v>2.8346044802154413E-3</v>
      </c>
      <c r="H135" s="1"/>
    </row>
    <row r="136" spans="1:8" x14ac:dyDescent="0.25">
      <c r="A136" s="43">
        <v>1.96608</v>
      </c>
      <c r="B136" s="43">
        <v>1.10229</v>
      </c>
      <c r="E136" s="2">
        <f t="shared" si="5"/>
        <v>1.0993006273135126</v>
      </c>
      <c r="F136">
        <f t="shared" si="4"/>
        <v>2.9893726864873571E-3</v>
      </c>
      <c r="H136" s="1"/>
    </row>
    <row r="137" spans="1:8" x14ac:dyDescent="0.25">
      <c r="A137" s="43">
        <v>2.0971519999999999</v>
      </c>
      <c r="B137" s="43">
        <v>1.0987199999999999</v>
      </c>
      <c r="E137" s="2">
        <f t="shared" si="5"/>
        <v>1.0956628265983255</v>
      </c>
      <c r="F137">
        <f t="shared" si="4"/>
        <v>3.0571734016744401E-3</v>
      </c>
      <c r="H137" s="1"/>
    </row>
    <row r="138" spans="1:8" x14ac:dyDescent="0.25">
      <c r="A138" s="43">
        <v>2.3592960000000001</v>
      </c>
      <c r="B138" s="43">
        <v>1.09215</v>
      </c>
      <c r="E138" s="2">
        <f t="shared" si="5"/>
        <v>1.0891532473907577</v>
      </c>
      <c r="F138">
        <f t="shared" si="4"/>
        <v>2.9967526092422592E-3</v>
      </c>
      <c r="H138" s="1"/>
    </row>
    <row r="139" spans="1:8" x14ac:dyDescent="0.25">
      <c r="A139" s="43">
        <v>2.6214400000000002</v>
      </c>
      <c r="B139" s="43">
        <v>1.0866800000000001</v>
      </c>
      <c r="E139" s="2">
        <f t="shared" si="5"/>
        <v>1.0834977902647378</v>
      </c>
      <c r="F139">
        <f t="shared" si="4"/>
        <v>3.1822097352622869E-3</v>
      </c>
      <c r="H139" s="1"/>
    </row>
    <row r="140" spans="1:8" x14ac:dyDescent="0.25">
      <c r="A140" s="43">
        <v>2.8835839999999999</v>
      </c>
      <c r="B140" s="43">
        <v>1.0818099999999999</v>
      </c>
      <c r="E140" s="2">
        <f t="shared" si="5"/>
        <v>1.0785389405568022</v>
      </c>
      <c r="F140">
        <f t="shared" si="4"/>
        <v>3.2710594431977214E-3</v>
      </c>
      <c r="H140" s="1"/>
    </row>
    <row r="141" spans="1:8" x14ac:dyDescent="0.25">
      <c r="A141" s="43">
        <v>3.1457280000000001</v>
      </c>
      <c r="B141" s="43">
        <v>1.07734</v>
      </c>
      <c r="E141" s="2">
        <f t="shared" si="5"/>
        <v>1.0741556682609645</v>
      </c>
      <c r="F141">
        <f t="shared" si="4"/>
        <v>3.1843317390354287E-3</v>
      </c>
      <c r="H141" s="1"/>
    </row>
    <row r="142" spans="1:8" x14ac:dyDescent="0.25">
      <c r="A142" s="43">
        <v>3.4078719999999998</v>
      </c>
      <c r="B142" s="43">
        <v>1.07308</v>
      </c>
      <c r="E142" s="2">
        <f t="shared" si="5"/>
        <v>1.0702534427721617</v>
      </c>
      <c r="F142">
        <f t="shared" si="4"/>
        <v>2.8265572278383111E-3</v>
      </c>
      <c r="H142" s="1"/>
    </row>
    <row r="143" spans="1:8" x14ac:dyDescent="0.25">
      <c r="A143" s="43">
        <v>3.6700159999999999</v>
      </c>
      <c r="B143" s="43">
        <v>1.0694999999999999</v>
      </c>
      <c r="E143" s="2">
        <f t="shared" si="5"/>
        <v>1.0667573568044144</v>
      </c>
      <c r="F143">
        <f t="shared" si="4"/>
        <v>2.7426431955854813E-3</v>
      </c>
      <c r="H143" s="1"/>
    </row>
    <row r="144" spans="1:8" x14ac:dyDescent="0.25">
      <c r="A144" s="43">
        <v>3.9321600000000001</v>
      </c>
      <c r="B144" s="43">
        <v>1.06646</v>
      </c>
      <c r="E144" s="2">
        <f t="shared" si="5"/>
        <v>1.0636072857293009</v>
      </c>
      <c r="F144">
        <f t="shared" si="4"/>
        <v>2.8527142706991082E-3</v>
      </c>
      <c r="H144" s="1"/>
    </row>
    <row r="145" spans="1:8" x14ac:dyDescent="0.25">
      <c r="A145" s="43">
        <v>4.1943039999999998</v>
      </c>
      <c r="B145" s="43">
        <v>1.0635399999999999</v>
      </c>
      <c r="E145" s="2">
        <f t="shared" si="5"/>
        <v>1.0607544124509645</v>
      </c>
      <c r="F145">
        <f t="shared" si="4"/>
        <v>2.785587549035462E-3</v>
      </c>
      <c r="H145" s="1"/>
    </row>
    <row r="146" spans="1:8" x14ac:dyDescent="0.25">
      <c r="A146" s="43">
        <v>4.7185920000000001</v>
      </c>
      <c r="B146" s="43">
        <v>1.05857</v>
      </c>
      <c r="E146" s="2">
        <f t="shared" si="5"/>
        <v>1.0557869502599855</v>
      </c>
      <c r="F146">
        <f t="shared" si="4"/>
        <v>2.7830497400145315E-3</v>
      </c>
      <c r="H146" s="1"/>
    </row>
    <row r="147" spans="1:8" x14ac:dyDescent="0.25">
      <c r="A147" s="43">
        <v>5.2428800000000004</v>
      </c>
      <c r="B147" s="43">
        <v>1.05427</v>
      </c>
      <c r="E147" s="2">
        <f t="shared" si="5"/>
        <v>1.0516090239982545</v>
      </c>
      <c r="F147">
        <f t="shared" si="4"/>
        <v>2.6609760017455297E-3</v>
      </c>
      <c r="H147" s="1"/>
    </row>
    <row r="148" spans="1:8" x14ac:dyDescent="0.25">
      <c r="A148" s="43">
        <v>5.7671679999999999</v>
      </c>
      <c r="B148" s="43">
        <v>1.0504500000000001</v>
      </c>
      <c r="E148" s="2">
        <f t="shared" si="5"/>
        <v>1.0480468432167909</v>
      </c>
      <c r="F148">
        <f t="shared" si="4"/>
        <v>2.4031567832092371E-3</v>
      </c>
      <c r="H148" s="1"/>
    </row>
    <row r="149" spans="1:8" x14ac:dyDescent="0.25">
      <c r="A149" s="43">
        <v>6.2914560000000002</v>
      </c>
      <c r="B149" s="43">
        <v>1.0470900000000001</v>
      </c>
      <c r="E149" s="2">
        <f t="shared" si="5"/>
        <v>1.044974120756498</v>
      </c>
      <c r="F149">
        <f t="shared" si="4"/>
        <v>2.1158792435020946E-3</v>
      </c>
      <c r="H149" s="1"/>
    </row>
    <row r="150" spans="1:8" x14ac:dyDescent="0.25">
      <c r="A150" s="43">
        <v>6.8157439999999996</v>
      </c>
      <c r="B150" s="43">
        <v>1.04436</v>
      </c>
      <c r="E150" s="2">
        <f t="shared" si="5"/>
        <v>1.0422968809808613</v>
      </c>
      <c r="F150">
        <f t="shared" si="4"/>
        <v>2.0631190191386928E-3</v>
      </c>
      <c r="H150" s="1"/>
    </row>
    <row r="151" spans="1:8" x14ac:dyDescent="0.25">
      <c r="A151" s="43">
        <v>7.3400319999999999</v>
      </c>
      <c r="B151" s="43">
        <v>1.04166</v>
      </c>
      <c r="E151" s="2">
        <f t="shared" si="5"/>
        <v>1.039943747579287</v>
      </c>
      <c r="F151">
        <f t="shared" si="4"/>
        <v>1.7162524207130492E-3</v>
      </c>
      <c r="H151" s="1"/>
    </row>
    <row r="152" spans="1:8" x14ac:dyDescent="0.25">
      <c r="A152" s="43">
        <v>7.8643200000000002</v>
      </c>
      <c r="B152" s="43">
        <v>1.03938</v>
      </c>
      <c r="E152" s="2">
        <f t="shared" si="5"/>
        <v>1.0378595358468305</v>
      </c>
      <c r="F152">
        <f t="shared" si="4"/>
        <v>1.5204641531694207E-3</v>
      </c>
      <c r="H152" s="1"/>
    </row>
    <row r="153" spans="1:8" x14ac:dyDescent="0.25">
      <c r="A153" s="43">
        <v>8.3886079999999996</v>
      </c>
      <c r="B153" s="43">
        <v>1.03748</v>
      </c>
      <c r="E153" s="2">
        <f t="shared" si="5"/>
        <v>1.0360009081315722</v>
      </c>
      <c r="F153">
        <f t="shared" si="4"/>
        <v>1.4790918684277621E-3</v>
      </c>
      <c r="H153" s="1"/>
    </row>
    <row r="154" spans="1:8" x14ac:dyDescent="0.25">
      <c r="A154" s="43">
        <v>9.4371840000000002</v>
      </c>
      <c r="B154" s="43">
        <v>1.03376</v>
      </c>
      <c r="E154" s="2">
        <f t="shared" si="5"/>
        <v>1.0328290650701202</v>
      </c>
      <c r="F154">
        <f t="shared" si="4"/>
        <v>9.3093492987983417E-4</v>
      </c>
      <c r="H154" s="1"/>
    </row>
    <row r="155" spans="1:8" x14ac:dyDescent="0.25">
      <c r="A155" s="43">
        <v>10.485760000000001</v>
      </c>
      <c r="B155" s="43">
        <v>1.0309200000000001</v>
      </c>
      <c r="E155" s="2">
        <f t="shared" si="5"/>
        <v>1.0302235756187499</v>
      </c>
      <c r="F155">
        <f t="shared" si="4"/>
        <v>6.9642438125017136E-4</v>
      </c>
      <c r="H155" s="1"/>
    </row>
    <row r="156" spans="1:8" x14ac:dyDescent="0.25">
      <c r="A156" s="43">
        <v>11.534336</v>
      </c>
      <c r="B156" s="43">
        <v>1.02891</v>
      </c>
      <c r="E156" s="2">
        <f t="shared" si="5"/>
        <v>1.0280462686873433</v>
      </c>
      <c r="F156">
        <f t="shared" si="4"/>
        <v>8.6373131265671255E-4</v>
      </c>
      <c r="H156" s="1"/>
    </row>
    <row r="157" spans="1:8" x14ac:dyDescent="0.25">
      <c r="A157" s="43">
        <v>12.582912</v>
      </c>
      <c r="B157" s="43">
        <v>1.0274799999999999</v>
      </c>
      <c r="E157" s="2">
        <f t="shared" si="5"/>
        <v>1.0262004869742702</v>
      </c>
      <c r="F157">
        <f t="shared" si="4"/>
        <v>1.279513025729706E-3</v>
      </c>
      <c r="H157" s="1"/>
    </row>
    <row r="158" spans="1:8" x14ac:dyDescent="0.25">
      <c r="A158" s="43">
        <v>13.631487999999999</v>
      </c>
      <c r="B158" s="43">
        <v>1.02566</v>
      </c>
      <c r="E158" s="2">
        <f t="shared" si="5"/>
        <v>1.0246165883353495</v>
      </c>
      <c r="F158">
        <f t="shared" si="4"/>
        <v>1.0434116646504954E-3</v>
      </c>
      <c r="H158" s="1"/>
    </row>
    <row r="159" spans="1:8" x14ac:dyDescent="0.25">
      <c r="A159" s="43">
        <v>14.680064</v>
      </c>
      <c r="B159" s="43">
        <v>1.02336</v>
      </c>
      <c r="E159" s="2">
        <f t="shared" si="5"/>
        <v>1.0232431265357513</v>
      </c>
      <c r="F159">
        <f t="shared" si="4"/>
        <v>1.1687346424871237E-4</v>
      </c>
      <c r="H159" s="1"/>
    </row>
    <row r="160" spans="1:8" x14ac:dyDescent="0.25">
      <c r="A160" s="43">
        <v>15.72864</v>
      </c>
      <c r="B160" s="43">
        <v>1.0213000000000001</v>
      </c>
      <c r="E160" s="2">
        <f t="shared" si="5"/>
        <v>1.022041274967445</v>
      </c>
      <c r="F160">
        <f t="shared" si="4"/>
        <v>-7.4127496744491594E-4</v>
      </c>
      <c r="H160" s="1"/>
    </row>
    <row r="161" spans="1:8" x14ac:dyDescent="0.25">
      <c r="A161" s="43">
        <v>16.777215999999999</v>
      </c>
      <c r="B161" s="43">
        <v>1.0196000000000001</v>
      </c>
      <c r="E161" s="2">
        <f t="shared" si="5"/>
        <v>1.020981182455863</v>
      </c>
      <c r="F161">
        <f t="shared" si="4"/>
        <v>-1.3811824558629393E-3</v>
      </c>
      <c r="H161" s="1"/>
    </row>
    <row r="162" spans="1:8" x14ac:dyDescent="0.25">
      <c r="A162" s="43">
        <v>18.874368</v>
      </c>
      <c r="B162" s="43">
        <v>1.01772</v>
      </c>
      <c r="E162" s="2">
        <f t="shared" si="5"/>
        <v>1.0191978054628366</v>
      </c>
      <c r="F162">
        <f t="shared" si="4"/>
        <v>-1.4778054628366011E-3</v>
      </c>
      <c r="H162" s="1"/>
    </row>
    <row r="163" spans="1:8" x14ac:dyDescent="0.25">
      <c r="A163" s="43">
        <v>20.971520000000002</v>
      </c>
      <c r="B163" s="43">
        <v>1.0164200000000001</v>
      </c>
      <c r="E163" s="2">
        <f t="shared" si="5"/>
        <v>1.0177576066616099</v>
      </c>
      <c r="F163">
        <f t="shared" si="4"/>
        <v>-1.3376066616097582E-3</v>
      </c>
      <c r="H163" s="1"/>
    </row>
    <row r="164" spans="1:8" x14ac:dyDescent="0.25">
      <c r="A164" s="43">
        <v>23.068671999999999</v>
      </c>
      <c r="B164" s="43">
        <v>1.0147299999999999</v>
      </c>
      <c r="E164" s="2">
        <f t="shared" si="5"/>
        <v>1.0165717123068818</v>
      </c>
      <c r="F164">
        <f t="shared" si="4"/>
        <v>-1.8417123068819041E-3</v>
      </c>
      <c r="H164" s="1"/>
    </row>
    <row r="165" spans="1:8" x14ac:dyDescent="0.25">
      <c r="A165" s="43">
        <v>25.165824000000001</v>
      </c>
      <c r="B165" s="43">
        <v>1.0133099999999999</v>
      </c>
      <c r="E165" s="2">
        <f t="shared" si="5"/>
        <v>1.0155793834306153</v>
      </c>
      <c r="F165">
        <f t="shared" si="4"/>
        <v>-2.2693834306153349E-3</v>
      </c>
      <c r="H165" s="1"/>
    </row>
    <row r="166" spans="1:8" x14ac:dyDescent="0.25">
      <c r="A166" s="43">
        <v>27.262975999999998</v>
      </c>
      <c r="B166" s="43">
        <v>1.0128699999999999</v>
      </c>
      <c r="E166" s="2">
        <f t="shared" si="5"/>
        <v>1.0147377106838555</v>
      </c>
      <c r="F166">
        <f t="shared" si="4"/>
        <v>-1.8677106838556057E-3</v>
      </c>
      <c r="H166" s="1"/>
    </row>
    <row r="167" spans="1:8" x14ac:dyDescent="0.25">
      <c r="A167" s="43">
        <v>29.360128</v>
      </c>
      <c r="B167" s="43">
        <v>1.01268</v>
      </c>
      <c r="E167" s="2">
        <f t="shared" si="5"/>
        <v>1.0140155280377492</v>
      </c>
      <c r="F167">
        <f t="shared" si="4"/>
        <v>-1.3355280377491674E-3</v>
      </c>
      <c r="H167" s="1"/>
    </row>
    <row r="168" spans="1:8" x14ac:dyDescent="0.25">
      <c r="A168" s="43">
        <v>31.457280000000001</v>
      </c>
      <c r="B168" s="43">
        <v>1.0128600000000001</v>
      </c>
      <c r="E168" s="2">
        <f t="shared" si="5"/>
        <v>1.013389659229361</v>
      </c>
      <c r="F168">
        <f t="shared" si="4"/>
        <v>-5.2965922936087928E-4</v>
      </c>
      <c r="H168" s="1"/>
    </row>
    <row r="169" spans="1:8" x14ac:dyDescent="0.25">
      <c r="A169" s="43">
        <v>33.554431999999998</v>
      </c>
      <c r="B169" s="43">
        <v>1.0122500000000001</v>
      </c>
      <c r="E169" s="2">
        <f t="shared" si="5"/>
        <v>1.0128425166309103</v>
      </c>
      <c r="F169">
        <f t="shared" si="4"/>
        <v>-5.9251663091020035E-4</v>
      </c>
      <c r="H169" s="1"/>
    </row>
    <row r="170" spans="1:8" x14ac:dyDescent="0.25">
      <c r="A170" s="43">
        <v>37.748736000000001</v>
      </c>
      <c r="B170" s="43">
        <v>1.0120499999999999</v>
      </c>
      <c r="E170" s="2">
        <f t="shared" si="5"/>
        <v>1.0119330033413427</v>
      </c>
      <c r="F170">
        <f t="shared" si="4"/>
        <v>1.1699665865716469E-4</v>
      </c>
      <c r="H170" s="1"/>
    </row>
    <row r="171" spans="1:8" x14ac:dyDescent="0.25">
      <c r="A171" s="43">
        <v>41.943040000000003</v>
      </c>
      <c r="B171" s="43">
        <v>1.0115700000000001</v>
      </c>
      <c r="E171" s="2">
        <f t="shared" si="5"/>
        <v>1.011209200287297</v>
      </c>
      <c r="F171">
        <f t="shared" si="4"/>
        <v>3.6079971270308597E-4</v>
      </c>
      <c r="H171" s="1"/>
    </row>
    <row r="172" spans="1:8" x14ac:dyDescent="0.25">
      <c r="A172" s="43">
        <v>46.137343999999999</v>
      </c>
      <c r="B172" s="43">
        <v>1.0112099999999999</v>
      </c>
      <c r="E172" s="2">
        <f t="shared" si="5"/>
        <v>1.0106209617410402</v>
      </c>
      <c r="F172">
        <f t="shared" si="4"/>
        <v>5.8903825895972872E-4</v>
      </c>
      <c r="H172" s="1"/>
    </row>
    <row r="173" spans="1:8" x14ac:dyDescent="0.25">
      <c r="A173" s="43">
        <v>50.331648000000001</v>
      </c>
      <c r="B173" s="43">
        <v>1.01153</v>
      </c>
      <c r="E173" s="2">
        <f t="shared" si="5"/>
        <v>1.010134543009257</v>
      </c>
      <c r="F173">
        <f t="shared" si="4"/>
        <v>1.3954569907430603E-3</v>
      </c>
      <c r="H173" s="1"/>
    </row>
    <row r="174" spans="1:8" x14ac:dyDescent="0.25">
      <c r="A174" s="43">
        <v>54.525951999999997</v>
      </c>
      <c r="B174" s="43">
        <v>1.01044</v>
      </c>
      <c r="E174" s="2">
        <f t="shared" si="5"/>
        <v>1.0097264257958944</v>
      </c>
      <c r="F174">
        <f t="shared" si="4"/>
        <v>7.1357420410556038E-4</v>
      </c>
      <c r="H174" s="1"/>
    </row>
    <row r="175" spans="1:8" x14ac:dyDescent="0.25">
      <c r="A175" s="43">
        <v>58.720255999999999</v>
      </c>
      <c r="B175" s="43">
        <v>1.00922</v>
      </c>
      <c r="E175" s="2">
        <f t="shared" si="5"/>
        <v>1.0093797335003152</v>
      </c>
      <c r="F175">
        <f t="shared" si="4"/>
        <v>-1.5973350031517342E-4</v>
      </c>
      <c r="H175" s="1"/>
    </row>
    <row r="176" spans="1:8" x14ac:dyDescent="0.25">
      <c r="A176" s="43">
        <v>62.914560000000002</v>
      </c>
      <c r="B176" s="43">
        <v>1.0098400000000001</v>
      </c>
      <c r="E176" s="2">
        <f t="shared" si="5"/>
        <v>1.0090820527555655</v>
      </c>
      <c r="F176">
        <f t="shared" si="4"/>
        <v>7.5794724443456474E-4</v>
      </c>
      <c r="H176" s="1"/>
    </row>
    <row r="177" spans="1:8" x14ac:dyDescent="0.25">
      <c r="A177" s="43">
        <v>67.108863999999997</v>
      </c>
      <c r="B177" s="43">
        <v>1.00905</v>
      </c>
      <c r="E177" s="2">
        <f t="shared" si="5"/>
        <v>1.0088240576844263</v>
      </c>
      <c r="F177">
        <f t="shared" si="4"/>
        <v>2.259423155737128E-4</v>
      </c>
      <c r="H177" s="1"/>
    </row>
    <row r="178" spans="1:8" x14ac:dyDescent="0.25">
      <c r="A178" s="43">
        <v>75.497472000000002</v>
      </c>
      <c r="B178" s="43">
        <v>1.0084500000000001</v>
      </c>
      <c r="E178" s="2">
        <f t="shared" si="5"/>
        <v>1.0084001670260578</v>
      </c>
      <c r="F178">
        <f t="shared" si="4"/>
        <v>4.9832973942232073E-5</v>
      </c>
      <c r="H178" s="1"/>
    </row>
    <row r="179" spans="1:8" x14ac:dyDescent="0.25">
      <c r="A179" s="43">
        <v>83.886080000000007</v>
      </c>
      <c r="B179" s="43">
        <v>1.00705</v>
      </c>
      <c r="E179" s="2">
        <f t="shared" si="5"/>
        <v>1.0080676520502005</v>
      </c>
      <c r="F179">
        <f t="shared" si="4"/>
        <v>-1.0176520502005459E-3</v>
      </c>
      <c r="H179" s="1"/>
    </row>
    <row r="180" spans="1:8" x14ac:dyDescent="0.25">
      <c r="A180" s="43">
        <v>92.274687999999998</v>
      </c>
      <c r="B180" s="43">
        <v>1.0059400000000001</v>
      </c>
      <c r="E180" s="2">
        <f t="shared" si="5"/>
        <v>1.0078008706338515</v>
      </c>
      <c r="F180">
        <f t="shared" si="4"/>
        <v>-1.8608706338514303E-3</v>
      </c>
      <c r="H180" s="1"/>
    </row>
    <row r="181" spans="1:8" x14ac:dyDescent="0.25">
      <c r="A181" s="43">
        <v>100.663296</v>
      </c>
      <c r="B181" s="43">
        <v>1.0065299999999999</v>
      </c>
      <c r="E181" s="2">
        <f t="shared" si="5"/>
        <v>1.0075828104528295</v>
      </c>
      <c r="F181">
        <f t="shared" si="4"/>
        <v>-1.0528104528295668E-3</v>
      </c>
      <c r="H181" s="1"/>
    </row>
    <row r="182" spans="1:8" x14ac:dyDescent="0.25">
      <c r="A182" s="43">
        <v>109.05190399999999</v>
      </c>
      <c r="B182" s="43">
        <v>1.00753</v>
      </c>
      <c r="E182" s="2">
        <f t="shared" si="5"/>
        <v>1.0074017671822921</v>
      </c>
      <c r="F182">
        <f t="shared" si="4"/>
        <v>1.2823281770790729E-4</v>
      </c>
      <c r="H182" s="1"/>
    </row>
    <row r="183" spans="1:8" x14ac:dyDescent="0.25">
      <c r="A183" s="43">
        <v>117.440512</v>
      </c>
      <c r="B183" s="43">
        <v>1.0061199999999999</v>
      </c>
      <c r="E183" s="2">
        <f t="shared" si="5"/>
        <v>1.0072494412626387</v>
      </c>
      <c r="F183">
        <f t="shared" si="4"/>
        <v>-1.1294412626388084E-3</v>
      </c>
      <c r="H183" s="1"/>
    </row>
    <row r="184" spans="1:8" x14ac:dyDescent="0.25">
      <c r="A184" s="43">
        <v>125.82912</v>
      </c>
      <c r="B184" s="43">
        <v>1.0053300000000001</v>
      </c>
      <c r="E184" s="2">
        <f t="shared" si="5"/>
        <v>1.0071197950447222</v>
      </c>
      <c r="F184">
        <f t="shared" si="4"/>
        <v>-1.7897950447220978E-3</v>
      </c>
      <c r="H184" s="1"/>
    </row>
    <row r="185" spans="1:8" x14ac:dyDescent="0.25">
      <c r="A185" s="43">
        <v>134.21772799999999</v>
      </c>
      <c r="B185" s="43">
        <v>1.0050699999999999</v>
      </c>
      <c r="E185" s="2">
        <f t="shared" si="5"/>
        <v>1.0070083389665638</v>
      </c>
      <c r="F185">
        <f t="shared" si="4"/>
        <v>-1.9383389665639239E-3</v>
      </c>
      <c r="H185" s="1"/>
    </row>
    <row r="186" spans="1:8" x14ac:dyDescent="0.25">
      <c r="A186" s="43">
        <v>150.994944</v>
      </c>
      <c r="B186" s="43">
        <v>1.0033700000000001</v>
      </c>
      <c r="E186" s="2">
        <f t="shared" si="5"/>
        <v>1.0068271675642719</v>
      </c>
      <c r="F186">
        <f t="shared" si="4"/>
        <v>-3.4571675642718347E-3</v>
      </c>
      <c r="H186" s="1"/>
    </row>
    <row r="187" spans="1:8" x14ac:dyDescent="0.25">
      <c r="A187" s="43">
        <v>167.77216000000001</v>
      </c>
      <c r="B187" s="43">
        <v>1.00403</v>
      </c>
      <c r="E187" s="2">
        <f t="shared" si="5"/>
        <v>1.0066868816721239</v>
      </c>
      <c r="F187">
        <f t="shared" si="4"/>
        <v>-2.6568816721239674E-3</v>
      </c>
      <c r="H187" s="1"/>
    </row>
    <row r="188" spans="1:8" x14ac:dyDescent="0.25">
      <c r="A188" s="43">
        <v>184.549376</v>
      </c>
      <c r="B188" s="43">
        <v>1.0053099999999999</v>
      </c>
      <c r="E188" s="2">
        <f t="shared" si="5"/>
        <v>1.006575592094193</v>
      </c>
      <c r="F188">
        <f t="shared" si="4"/>
        <v>-1.2655920941930798E-3</v>
      </c>
      <c r="H188" s="1"/>
    </row>
    <row r="189" spans="1:8" x14ac:dyDescent="0.25">
      <c r="A189" s="43">
        <v>201.32659200000001</v>
      </c>
      <c r="B189" s="43">
        <v>1.0039199999999999</v>
      </c>
      <c r="E189" s="2">
        <f t="shared" si="5"/>
        <v>1.0064855251517431</v>
      </c>
      <c r="F189">
        <f t="shared" si="4"/>
        <v>-2.565525151743131E-3</v>
      </c>
      <c r="H189" s="1"/>
    </row>
    <row r="190" spans="1:8" x14ac:dyDescent="0.25">
      <c r="A190" s="43">
        <v>218.10380799999999</v>
      </c>
      <c r="B190" s="43">
        <v>1.0046900000000001</v>
      </c>
      <c r="E190" s="2">
        <f t="shared" si="5"/>
        <v>1.0064114022250676</v>
      </c>
      <c r="F190">
        <f t="shared" si="4"/>
        <v>-1.7214022250675587E-3</v>
      </c>
      <c r="H190" s="1"/>
    </row>
    <row r="191" spans="1:8" x14ac:dyDescent="0.25">
      <c r="A191" s="43">
        <v>234.881024</v>
      </c>
      <c r="B191" s="43">
        <v>1.0042500000000001</v>
      </c>
      <c r="E191" s="2">
        <f t="shared" si="5"/>
        <v>1.0063495242676919</v>
      </c>
      <c r="F191">
        <f t="shared" si="4"/>
        <v>-2.0995242676917769E-3</v>
      </c>
      <c r="H191" s="1"/>
    </row>
    <row r="192" spans="1:8" x14ac:dyDescent="0.25">
      <c r="A192" s="43">
        <v>251.65824000000001</v>
      </c>
      <c r="B192" s="43">
        <v>1.00467</v>
      </c>
      <c r="E192" s="2">
        <f t="shared" si="5"/>
        <v>1.00629722910902</v>
      </c>
      <c r="F192">
        <f t="shared" si="4"/>
        <v>-1.627229109020023E-3</v>
      </c>
      <c r="H192" s="1"/>
    </row>
    <row r="193" spans="1:8" x14ac:dyDescent="0.25">
      <c r="A193" s="43">
        <v>268.43545599999999</v>
      </c>
      <c r="B193" s="43">
        <v>1.0043899999999999</v>
      </c>
      <c r="E193" s="2">
        <f t="shared" si="5"/>
        <v>1.0062525564825793</v>
      </c>
      <c r="F193">
        <f t="shared" si="4"/>
        <v>-1.8625564825793806E-3</v>
      </c>
      <c r="H193" s="1"/>
    </row>
    <row r="194" spans="1:8" x14ac:dyDescent="0.25">
      <c r="A194" s="43">
        <v>301.98988800000001</v>
      </c>
      <c r="B194" s="43">
        <v>1.00482</v>
      </c>
      <c r="E194" s="2">
        <f t="shared" si="5"/>
        <v>1.006180536429033</v>
      </c>
      <c r="F194">
        <f t="shared" ref="F194:F238" si="6">B194-E194</f>
        <v>-1.3605364290329991E-3</v>
      </c>
      <c r="H194" s="1"/>
    </row>
    <row r="195" spans="1:8" x14ac:dyDescent="0.25">
      <c r="A195" s="43">
        <v>335.54432000000003</v>
      </c>
      <c r="B195" s="43">
        <v>1.0053799999999999</v>
      </c>
      <c r="E195" s="2">
        <f t="shared" ref="E195:E238" si="7">$D$2+1/$D$3*($D$8/(1+A195/$D$4)/SQRT(1+A195/$D$4/$D$5/$D$5)+(1-$D$8)/(1+A195/$D$6)/SQRT(1+A195/$D$6/$D$7/$D$7))*(1+$D$9*EXP(-A195/$D$10)+$D$11*EXP(-A195/$D$12))</f>
        <v>1.0061253084774289</v>
      </c>
      <c r="F195">
        <f t="shared" si="6"/>
        <v>-7.4530847742892981E-4</v>
      </c>
      <c r="H195" s="1"/>
    </row>
    <row r="196" spans="1:8" x14ac:dyDescent="0.25">
      <c r="A196" s="43">
        <v>369.09875199999999</v>
      </c>
      <c r="B196" s="43">
        <v>1.00414</v>
      </c>
      <c r="E196" s="2">
        <f t="shared" si="7"/>
        <v>1.0060818546020041</v>
      </c>
      <c r="F196">
        <f t="shared" si="6"/>
        <v>-1.9418546020040228E-3</v>
      </c>
      <c r="H196" s="1"/>
    </row>
    <row r="197" spans="1:8" x14ac:dyDescent="0.25">
      <c r="A197" s="43">
        <v>402.65318400000001</v>
      </c>
      <c r="B197" s="43">
        <v>1.0043500000000001</v>
      </c>
      <c r="E197" s="2">
        <f t="shared" si="7"/>
        <v>1.0060469343538516</v>
      </c>
      <c r="F197">
        <f t="shared" si="6"/>
        <v>-1.6969343538515425E-3</v>
      </c>
      <c r="H197" s="1"/>
    </row>
    <row r="198" spans="1:8" x14ac:dyDescent="0.25">
      <c r="A198" s="43">
        <v>436.20761599999997</v>
      </c>
      <c r="B198" s="43">
        <v>1.0036099999999999</v>
      </c>
      <c r="E198" s="2">
        <f t="shared" si="7"/>
        <v>1.0060183709915329</v>
      </c>
      <c r="F198">
        <f t="shared" si="6"/>
        <v>-2.4083709915330154E-3</v>
      </c>
      <c r="H198" s="1"/>
    </row>
    <row r="199" spans="1:8" x14ac:dyDescent="0.25">
      <c r="A199" s="43">
        <v>469.76204799999999</v>
      </c>
      <c r="B199" s="43">
        <v>1.00414</v>
      </c>
      <c r="E199" s="2">
        <f t="shared" si="7"/>
        <v>1.0059946535232553</v>
      </c>
      <c r="F199">
        <f t="shared" si="6"/>
        <v>-1.8546535232553119E-3</v>
      </c>
      <c r="H199" s="1"/>
    </row>
    <row r="200" spans="1:8" x14ac:dyDescent="0.25">
      <c r="A200" s="43">
        <v>503.31648000000001</v>
      </c>
      <c r="B200" s="43">
        <v>1.0035499999999999</v>
      </c>
      <c r="E200" s="2">
        <f t="shared" si="7"/>
        <v>1.0059747035705866</v>
      </c>
      <c r="F200">
        <f t="shared" si="6"/>
        <v>-2.4247035705866615E-3</v>
      </c>
      <c r="H200" s="1"/>
    </row>
    <row r="201" spans="1:8" x14ac:dyDescent="0.25">
      <c r="A201" s="43">
        <v>536.87091199999998</v>
      </c>
      <c r="B201" s="43">
        <v>1.0048299999999999</v>
      </c>
      <c r="E201" s="2">
        <f t="shared" si="7"/>
        <v>1.0059577329778593</v>
      </c>
      <c r="F201">
        <f t="shared" si="6"/>
        <v>-1.127732977859397E-3</v>
      </c>
      <c r="H201" s="1"/>
    </row>
    <row r="202" spans="1:8" x14ac:dyDescent="0.25">
      <c r="A202" s="43">
        <v>603.97977600000002</v>
      </c>
      <c r="B202" s="43">
        <v>1.0042</v>
      </c>
      <c r="E202" s="2">
        <f t="shared" si="7"/>
        <v>1.0059305190043131</v>
      </c>
      <c r="F202">
        <f t="shared" si="6"/>
        <v>-1.7305190043130914E-3</v>
      </c>
      <c r="H202" s="1"/>
    </row>
    <row r="203" spans="1:8" x14ac:dyDescent="0.25">
      <c r="A203" s="43">
        <v>671.08864000000005</v>
      </c>
      <c r="B203" s="43">
        <v>1.00369</v>
      </c>
      <c r="E203" s="2">
        <f t="shared" si="7"/>
        <v>1.0059097788566984</v>
      </c>
      <c r="F203">
        <f t="shared" si="6"/>
        <v>-2.21977885669844E-3</v>
      </c>
      <c r="H203" s="1"/>
    </row>
    <row r="204" spans="1:8" x14ac:dyDescent="0.25">
      <c r="A204" s="43">
        <v>738.19750399999998</v>
      </c>
      <c r="B204" s="43">
        <v>1.00404</v>
      </c>
      <c r="E204" s="2">
        <f t="shared" si="7"/>
        <v>1.0058935437949603</v>
      </c>
      <c r="F204">
        <f t="shared" si="6"/>
        <v>-1.8535437949602773E-3</v>
      </c>
      <c r="H204" s="1"/>
    </row>
    <row r="205" spans="1:8" x14ac:dyDescent="0.25">
      <c r="A205" s="43">
        <v>805.30636800000002</v>
      </c>
      <c r="B205" s="43">
        <v>1.0032399999999999</v>
      </c>
      <c r="E205" s="2">
        <f t="shared" si="7"/>
        <v>1.0058805533169215</v>
      </c>
      <c r="F205">
        <f t="shared" si="6"/>
        <v>-2.64055331692159E-3</v>
      </c>
      <c r="H205" s="1"/>
    </row>
    <row r="206" spans="1:8" x14ac:dyDescent="0.25">
      <c r="A206" s="43">
        <v>872.41523199999995</v>
      </c>
      <c r="B206" s="43">
        <v>1.0041800000000001</v>
      </c>
      <c r="E206" s="2">
        <f t="shared" si="7"/>
        <v>1.0058699668070674</v>
      </c>
      <c r="F206">
        <f t="shared" si="6"/>
        <v>-1.6899668070673446E-3</v>
      </c>
      <c r="H206" s="1"/>
    </row>
    <row r="207" spans="1:8" x14ac:dyDescent="0.25">
      <c r="A207" s="43">
        <v>939.52409599999999</v>
      </c>
      <c r="B207" s="43">
        <v>1.0040100000000001</v>
      </c>
      <c r="E207" s="2">
        <f t="shared" si="7"/>
        <v>1.0058612043673327</v>
      </c>
      <c r="F207">
        <f t="shared" si="6"/>
        <v>-1.8512043673326595E-3</v>
      </c>
      <c r="H207" s="1"/>
    </row>
    <row r="208" spans="1:8" x14ac:dyDescent="0.25">
      <c r="A208" s="43">
        <v>1006.63296</v>
      </c>
      <c r="B208" s="43">
        <v>1.00448</v>
      </c>
      <c r="E208" s="2">
        <f t="shared" si="7"/>
        <v>1.0058538543580517</v>
      </c>
      <c r="F208">
        <f t="shared" si="6"/>
        <v>-1.3738543580517071E-3</v>
      </c>
      <c r="H208" s="1"/>
    </row>
    <row r="209" spans="1:8" x14ac:dyDescent="0.25">
      <c r="A209" s="43">
        <v>1073.741824</v>
      </c>
      <c r="B209" s="43">
        <v>1.0046600000000001</v>
      </c>
      <c r="E209" s="2">
        <f t="shared" si="7"/>
        <v>1.0058476173425033</v>
      </c>
      <c r="F209">
        <f t="shared" si="6"/>
        <v>-1.1876173425031666E-3</v>
      </c>
      <c r="H209" s="1"/>
    </row>
    <row r="210" spans="1:8" x14ac:dyDescent="0.25">
      <c r="A210" s="43">
        <v>1207.959552</v>
      </c>
      <c r="B210" s="43">
        <v>1.0039899999999999</v>
      </c>
      <c r="E210" s="2">
        <f t="shared" si="7"/>
        <v>1.0058376464649639</v>
      </c>
      <c r="F210">
        <f t="shared" si="6"/>
        <v>-1.8476464649639368E-3</v>
      </c>
      <c r="H210" s="1"/>
    </row>
    <row r="211" spans="1:8" x14ac:dyDescent="0.25">
      <c r="A211" s="43">
        <v>1342.1772800000001</v>
      </c>
      <c r="B211" s="43">
        <v>1.0044500000000001</v>
      </c>
      <c r="E211" s="2">
        <f t="shared" si="7"/>
        <v>1.0058300743140205</v>
      </c>
      <c r="F211">
        <f t="shared" si="6"/>
        <v>-1.3800743140204297E-3</v>
      </c>
      <c r="H211" s="1"/>
    </row>
    <row r="212" spans="1:8" x14ac:dyDescent="0.25">
      <c r="A212" s="43">
        <v>1476.395008</v>
      </c>
      <c r="B212" s="43">
        <v>1.00431</v>
      </c>
      <c r="E212" s="2">
        <f t="shared" si="7"/>
        <v>1.0058241640812995</v>
      </c>
      <c r="F212">
        <f t="shared" si="6"/>
        <v>-1.5141640812994517E-3</v>
      </c>
      <c r="H212" s="1"/>
    </row>
    <row r="213" spans="1:8" x14ac:dyDescent="0.25">
      <c r="A213" s="43">
        <v>1610.612736</v>
      </c>
      <c r="B213" s="43">
        <v>1.0043800000000001</v>
      </c>
      <c r="E213" s="2">
        <f t="shared" si="7"/>
        <v>1.0058194464158705</v>
      </c>
      <c r="F213">
        <f t="shared" si="6"/>
        <v>-1.4394464158704601E-3</v>
      </c>
      <c r="H213" s="1"/>
    </row>
    <row r="214" spans="1:8" x14ac:dyDescent="0.25">
      <c r="A214" s="43">
        <v>1744.8304639999999</v>
      </c>
      <c r="B214" s="43">
        <v>1.00406</v>
      </c>
      <c r="E214" s="2">
        <f t="shared" si="7"/>
        <v>1.0058156096395354</v>
      </c>
      <c r="F214">
        <f t="shared" si="6"/>
        <v>-1.7556096395354714E-3</v>
      </c>
      <c r="H214" s="1"/>
    </row>
    <row r="215" spans="1:8" x14ac:dyDescent="0.25">
      <c r="A215" s="43">
        <v>1879.048192</v>
      </c>
      <c r="B215" s="43">
        <v>1.0049600000000001</v>
      </c>
      <c r="E215" s="2">
        <f t="shared" si="7"/>
        <v>1.0058124395137573</v>
      </c>
      <c r="F215">
        <f t="shared" si="6"/>
        <v>-8.5243951375724158E-4</v>
      </c>
      <c r="H215" s="1"/>
    </row>
    <row r="216" spans="1:8" x14ac:dyDescent="0.25">
      <c r="A216" s="43">
        <v>2013.2659200000001</v>
      </c>
      <c r="B216" s="43">
        <v>1.0049300000000001</v>
      </c>
      <c r="E216" s="2">
        <f t="shared" si="7"/>
        <v>1.0058097844307374</v>
      </c>
      <c r="F216">
        <f t="shared" si="6"/>
        <v>-8.7978443073732926E-4</v>
      </c>
      <c r="H216" s="1"/>
    </row>
    <row r="217" spans="1:8" x14ac:dyDescent="0.25">
      <c r="A217" s="43">
        <v>2147.4836479999999</v>
      </c>
      <c r="B217" s="43">
        <v>1.0044599999999999</v>
      </c>
      <c r="E217" s="2">
        <f t="shared" si="7"/>
        <v>1.0058075344025468</v>
      </c>
      <c r="F217">
        <f t="shared" si="6"/>
        <v>-1.3475344025468683E-3</v>
      </c>
      <c r="H217" s="1"/>
    </row>
    <row r="218" spans="1:8" x14ac:dyDescent="0.25">
      <c r="A218" s="43">
        <v>2415.9191040000001</v>
      </c>
      <c r="B218" s="43">
        <v>1.0040199999999999</v>
      </c>
      <c r="E218" s="2">
        <f t="shared" si="7"/>
        <v>1.0058039433460362</v>
      </c>
      <c r="F218">
        <f t="shared" si="6"/>
        <v>-1.7839433460362653E-3</v>
      </c>
      <c r="H218" s="1"/>
    </row>
    <row r="219" spans="1:8" x14ac:dyDescent="0.25">
      <c r="A219" s="43">
        <v>2684.3545600000002</v>
      </c>
      <c r="B219" s="43">
        <v>1.0047299999999999</v>
      </c>
      <c r="E219" s="2">
        <f t="shared" si="7"/>
        <v>1.0058012213628955</v>
      </c>
      <c r="F219">
        <f t="shared" si="6"/>
        <v>-1.0712213628956135E-3</v>
      </c>
      <c r="H219" s="1"/>
    </row>
    <row r="220" spans="1:8" x14ac:dyDescent="0.25">
      <c r="A220" s="43">
        <v>2952.7900159999999</v>
      </c>
      <c r="B220" s="43">
        <v>1.0038400000000001</v>
      </c>
      <c r="E220" s="2">
        <f t="shared" si="7"/>
        <v>1.0057991000667805</v>
      </c>
      <c r="F220">
        <f t="shared" si="6"/>
        <v>-1.9591000667804614E-3</v>
      </c>
      <c r="H220" s="1"/>
    </row>
    <row r="221" spans="1:8" x14ac:dyDescent="0.25">
      <c r="A221" s="43">
        <v>3221.2254720000001</v>
      </c>
      <c r="B221" s="43">
        <v>1.0038199999999999</v>
      </c>
      <c r="E221" s="2">
        <f t="shared" si="7"/>
        <v>1.0057974089703066</v>
      </c>
      <c r="F221">
        <f t="shared" si="6"/>
        <v>-1.9774089703066267E-3</v>
      </c>
      <c r="H221" s="1"/>
    </row>
    <row r="222" spans="1:8" x14ac:dyDescent="0.25">
      <c r="A222" s="43">
        <v>3489.6609279999998</v>
      </c>
      <c r="B222" s="43">
        <v>1.00467</v>
      </c>
      <c r="E222" s="2">
        <f t="shared" si="7"/>
        <v>1.0057960351201476</v>
      </c>
      <c r="F222">
        <f t="shared" si="6"/>
        <v>-1.1260351201476393E-3</v>
      </c>
      <c r="H222" s="1"/>
    </row>
    <row r="223" spans="1:8" x14ac:dyDescent="0.25">
      <c r="A223" s="43">
        <v>3758.0963839999999</v>
      </c>
      <c r="B223" s="43">
        <v>1.0045500000000001</v>
      </c>
      <c r="E223" s="2">
        <f t="shared" si="7"/>
        <v>1.0057949010260339</v>
      </c>
      <c r="F223">
        <f t="shared" si="6"/>
        <v>-1.2449010260338067E-3</v>
      </c>
      <c r="H223" s="1"/>
    </row>
    <row r="224" spans="1:8" x14ac:dyDescent="0.25">
      <c r="A224" s="43">
        <v>4026.5318400000001</v>
      </c>
      <c r="B224" s="43">
        <v>1.0046900000000001</v>
      </c>
      <c r="E224" s="2">
        <f t="shared" si="7"/>
        <v>1.005793951942046</v>
      </c>
      <c r="F224">
        <f t="shared" si="6"/>
        <v>-1.1039519420459332E-3</v>
      </c>
      <c r="H224" s="1"/>
    </row>
    <row r="225" spans="1:8" x14ac:dyDescent="0.25">
      <c r="A225" s="43">
        <v>4294.9672959999998</v>
      </c>
      <c r="B225" s="43">
        <v>1.0041800000000001</v>
      </c>
      <c r="E225" s="2">
        <f t="shared" si="7"/>
        <v>1.0057931482080662</v>
      </c>
      <c r="F225">
        <f t="shared" si="6"/>
        <v>-1.6131482080661286E-3</v>
      </c>
      <c r="H225" s="1"/>
    </row>
    <row r="226" spans="1:8" x14ac:dyDescent="0.25">
      <c r="A226" s="43">
        <v>4831.8382080000001</v>
      </c>
      <c r="B226" s="43">
        <v>1.00491</v>
      </c>
      <c r="E226" s="2">
        <f t="shared" si="7"/>
        <v>1.0057918665534649</v>
      </c>
      <c r="F226">
        <f t="shared" si="6"/>
        <v>-8.8186655346489395E-4</v>
      </c>
      <c r="H226" s="1"/>
    </row>
    <row r="227" spans="1:8" x14ac:dyDescent="0.25">
      <c r="A227" s="43">
        <v>5368.7091200000004</v>
      </c>
      <c r="B227" s="43">
        <v>1.0043</v>
      </c>
      <c r="E227" s="2">
        <f t="shared" si="7"/>
        <v>1.0057908960261261</v>
      </c>
      <c r="F227">
        <f t="shared" si="6"/>
        <v>-1.4908960261261761E-3</v>
      </c>
      <c r="H227" s="1"/>
    </row>
    <row r="228" spans="1:8" x14ac:dyDescent="0.25">
      <c r="A228" s="43">
        <v>5905.5800319999998</v>
      </c>
      <c r="B228" s="43">
        <v>1.0032300000000001</v>
      </c>
      <c r="E228" s="2">
        <f t="shared" si="7"/>
        <v>1.0057901402766007</v>
      </c>
      <c r="F228">
        <f t="shared" si="6"/>
        <v>-2.5601402766006753E-3</v>
      </c>
      <c r="H228" s="1"/>
    </row>
    <row r="229" spans="1:8" x14ac:dyDescent="0.25">
      <c r="A229" s="43">
        <v>6442.4509440000002</v>
      </c>
      <c r="B229" s="43">
        <v>1.00427</v>
      </c>
      <c r="E229" s="2">
        <f t="shared" si="7"/>
        <v>1.005789538190055</v>
      </c>
      <c r="F229">
        <f t="shared" si="6"/>
        <v>-1.5195381900550142E-3</v>
      </c>
      <c r="H229" s="1"/>
    </row>
    <row r="230" spans="1:8" x14ac:dyDescent="0.25">
      <c r="A230" s="43">
        <v>6979.3218559999996</v>
      </c>
      <c r="B230" s="43">
        <v>1.0040899999999999</v>
      </c>
      <c r="E230" s="2">
        <f t="shared" si="7"/>
        <v>1.005789049324652</v>
      </c>
      <c r="F230">
        <f t="shared" si="6"/>
        <v>-1.6990493246520355E-3</v>
      </c>
      <c r="H230" s="1"/>
    </row>
    <row r="231" spans="1:8" x14ac:dyDescent="0.25">
      <c r="A231" s="43">
        <v>7516.1927679999999</v>
      </c>
      <c r="B231" s="43">
        <v>1.00345</v>
      </c>
      <c r="E231" s="2">
        <f t="shared" si="7"/>
        <v>1.0057886459637269</v>
      </c>
      <c r="F231">
        <f t="shared" si="6"/>
        <v>-2.3386459637269041E-3</v>
      </c>
      <c r="H231" s="1"/>
    </row>
    <row r="232" spans="1:8" x14ac:dyDescent="0.25">
      <c r="A232" s="43">
        <v>8053.0636800000002</v>
      </c>
      <c r="B232" s="43">
        <v>1.0026299999999999</v>
      </c>
      <c r="E232" s="2">
        <f t="shared" si="7"/>
        <v>1.0057883085425949</v>
      </c>
      <c r="F232">
        <f t="shared" si="6"/>
        <v>-3.158308542595023E-3</v>
      </c>
      <c r="H232" s="1"/>
    </row>
    <row r="233" spans="1:8" x14ac:dyDescent="0.25">
      <c r="A233" s="43">
        <v>8589.9345919999996</v>
      </c>
      <c r="B233" s="43">
        <v>1.0029999999999999</v>
      </c>
      <c r="E233" s="2">
        <f t="shared" si="7"/>
        <v>1.0057880228982943</v>
      </c>
      <c r="F233">
        <f t="shared" si="6"/>
        <v>-2.7880228982943844E-3</v>
      </c>
      <c r="H233" s="1"/>
    </row>
    <row r="234" spans="1:8" x14ac:dyDescent="0.25">
      <c r="A234" s="43">
        <v>9663.6764160000002</v>
      </c>
      <c r="B234" s="43">
        <v>1.0021100000000001</v>
      </c>
      <c r="E234" s="2">
        <f t="shared" si="7"/>
        <v>1.0057875676035384</v>
      </c>
      <c r="F234">
        <f t="shared" si="6"/>
        <v>-3.6775676035383231E-3</v>
      </c>
      <c r="H234" s="1"/>
    </row>
    <row r="235" spans="1:8" x14ac:dyDescent="0.25">
      <c r="A235" s="43">
        <v>10737.418240000001</v>
      </c>
      <c r="B235" s="43">
        <v>1.0036499999999999</v>
      </c>
      <c r="E235" s="2">
        <f t="shared" si="7"/>
        <v>1.0057872230059082</v>
      </c>
      <c r="F235">
        <f t="shared" si="6"/>
        <v>-2.1372230059082398E-3</v>
      </c>
      <c r="H235" s="1"/>
    </row>
    <row r="236" spans="1:8" x14ac:dyDescent="0.25">
      <c r="A236" s="43">
        <v>11811.160064</v>
      </c>
      <c r="B236" s="43">
        <v>1.0051600000000001</v>
      </c>
      <c r="E236" s="2">
        <f t="shared" si="7"/>
        <v>1.0057869547763354</v>
      </c>
      <c r="F236">
        <f t="shared" si="6"/>
        <v>-6.2695477633534225E-4</v>
      </c>
      <c r="H236" s="1"/>
    </row>
    <row r="237" spans="1:8" x14ac:dyDescent="0.25">
      <c r="A237" s="43">
        <v>12884.901888</v>
      </c>
      <c r="B237" s="43">
        <v>1.00397</v>
      </c>
      <c r="E237" s="2">
        <f t="shared" si="7"/>
        <v>1.0057867411560337</v>
      </c>
      <c r="F237">
        <f t="shared" si="6"/>
        <v>-1.8167411560336966E-3</v>
      </c>
      <c r="H237" s="1"/>
    </row>
    <row r="238" spans="1:8" x14ac:dyDescent="0.25">
      <c r="A238" s="43">
        <v>13958.643711999999</v>
      </c>
      <c r="B238" s="43">
        <v>1.0041199999999999</v>
      </c>
      <c r="E238" s="2">
        <f t="shared" si="7"/>
        <v>1.0057865677552928</v>
      </c>
      <c r="F238">
        <f t="shared" si="6"/>
        <v>-1.666567755292947E-3</v>
      </c>
      <c r="H238" s="1"/>
    </row>
    <row r="239" spans="1:8" x14ac:dyDescent="0.25">
      <c r="A239" s="43">
        <v>15032.385536</v>
      </c>
      <c r="B239" s="43">
        <v>1.0053700000000001</v>
      </c>
    </row>
    <row r="240" spans="1:8" x14ac:dyDescent="0.25">
      <c r="A240" s="43">
        <v>16106.12736</v>
      </c>
      <c r="B240" s="43">
        <v>1.0056499999999999</v>
      </c>
    </row>
    <row r="241" spans="1:2" x14ac:dyDescent="0.25">
      <c r="A241" s="43">
        <v>17179.869183999999</v>
      </c>
      <c r="B241" s="43">
        <v>1.0064599999999999</v>
      </c>
    </row>
    <row r="242" spans="1:2" x14ac:dyDescent="0.25">
      <c r="A242" s="43">
        <v>19327.352832</v>
      </c>
      <c r="B242" s="43">
        <v>1.00421</v>
      </c>
    </row>
    <row r="243" spans="1:2" x14ac:dyDescent="0.25">
      <c r="A243" s="43">
        <v>21474.836480000002</v>
      </c>
      <c r="B243" s="43">
        <v>1.0025500000000001</v>
      </c>
    </row>
    <row r="244" spans="1:2" x14ac:dyDescent="0.25">
      <c r="A244" s="43">
        <v>23622.320127999999</v>
      </c>
      <c r="B244" s="43">
        <v>1.00451</v>
      </c>
    </row>
    <row r="245" spans="1:2" x14ac:dyDescent="0.25">
      <c r="A245" s="43">
        <v>25769.803776000001</v>
      </c>
      <c r="B245" s="43">
        <v>1.0035700000000001</v>
      </c>
    </row>
    <row r="246" spans="1:2" x14ac:dyDescent="0.25">
      <c r="A246" s="43">
        <v>27917.287423999998</v>
      </c>
      <c r="B246" s="43">
        <v>1.0044</v>
      </c>
    </row>
  </sheetData>
  <phoneticPr fontId="0" type="noConversion"/>
  <pageMargins left="0.7" right="0.7" top="0.75" bottom="0.75" header="0.3" footer="0.3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>
      <selection activeCell="O7" sqref="O7"/>
    </sheetView>
  </sheetViews>
  <sheetFormatPr defaultColWidth="9" defaultRowHeight="15" x14ac:dyDescent="0.25"/>
  <cols>
    <col min="1" max="1" width="14.28515625" bestFit="1" customWidth="1"/>
    <col min="2" max="2" width="13.5703125" bestFit="1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style="4" bestFit="1" customWidth="1"/>
  </cols>
  <sheetData>
    <row r="1" spans="1:12" x14ac:dyDescent="0.25">
      <c r="A1" t="s">
        <v>6</v>
      </c>
      <c r="B1" t="s">
        <v>17</v>
      </c>
      <c r="C1" t="s">
        <v>0</v>
      </c>
      <c r="E1" s="2" t="s">
        <v>3</v>
      </c>
      <c r="F1" s="2" t="s">
        <v>4</v>
      </c>
      <c r="G1" s="2" t="s">
        <v>5</v>
      </c>
      <c r="I1"/>
      <c r="J1" s="4" t="s">
        <v>18</v>
      </c>
      <c r="L1" s="3" t="s">
        <v>21</v>
      </c>
    </row>
    <row r="2" spans="1:12" ht="15.75" x14ac:dyDescent="0.25">
      <c r="A2" s="39">
        <v>3.9999999999999998E-6</v>
      </c>
      <c r="B2" s="39">
        <v>1.3143499999999999</v>
      </c>
      <c r="C2" s="3" t="s">
        <v>1</v>
      </c>
      <c r="D2">
        <v>0.99953930620049269</v>
      </c>
      <c r="E2" s="2">
        <f>$D$2+1/$D$3*($D$8/(1+A2/$D$4)/SQRT(1+A2/$D$4/$D$5/$D$5)+(1-$D$8)/(1+A2/$D$6)/SQRT(1+A2/$D$6/$D$7/$D$7))*(1+$D$9*EXP(-A2/$D$10)+$D$11*EXP(-A2/$D$12))</f>
        <v>1.4302654593187818</v>
      </c>
      <c r="F2">
        <f t="shared" ref="F2:F65" si="0">B2-E2</f>
        <v>-0.11591545931878189</v>
      </c>
      <c r="G2">
        <f>SUMSQ(F$5:F$190)</f>
        <v>3.658295169067861E-3</v>
      </c>
      <c r="H2" s="1"/>
      <c r="I2" s="13" t="s">
        <v>19</v>
      </c>
      <c r="J2" s="27">
        <v>74.09</v>
      </c>
      <c r="L2" s="14">
        <f>(J2+J3)/D3</f>
        <v>59.8574599974176</v>
      </c>
    </row>
    <row r="3" spans="1:12" x14ac:dyDescent="0.25">
      <c r="A3" s="39">
        <v>7.9999999999999996E-6</v>
      </c>
      <c r="B3" s="39">
        <v>1.3788800000000001</v>
      </c>
      <c r="C3" s="3" t="s">
        <v>2</v>
      </c>
      <c r="D3">
        <v>2.5452132450420177</v>
      </c>
      <c r="E3" s="2">
        <f t="shared" ref="E3:E66" si="1">$D$2+1/$D$3*($D$8/(1+A3/$D$4)/SQRT(1+A3/$D$4/$D$5/$D$5)+(1-$D$8)/(1+A3/$D$6)/SQRT(1+A3/$D$6/$D$7/$D$7))*(1+$D$9*EXP(-A3/$D$10)+$D$11*EXP(-A3/$D$12))</f>
        <v>1.4289784303686897</v>
      </c>
      <c r="F3">
        <f t="shared" si="0"/>
        <v>-5.009843036868955E-2</v>
      </c>
      <c r="H3" s="1"/>
      <c r="I3" s="13" t="s">
        <v>20</v>
      </c>
      <c r="J3" s="28">
        <v>78.260000000000005</v>
      </c>
    </row>
    <row r="4" spans="1:12" x14ac:dyDescent="0.25">
      <c r="A4" s="39">
        <v>1.2E-5</v>
      </c>
      <c r="B4" s="39">
        <v>1.4070199999999999</v>
      </c>
      <c r="C4" s="3" t="s">
        <v>26</v>
      </c>
      <c r="D4">
        <f>('1_Rh110 in buffer'!D4+'2_Rh110 in buffer'!D4)/2</f>
        <v>0.1892478885079571</v>
      </c>
      <c r="E4" s="2">
        <f t="shared" si="1"/>
        <v>1.4278004251323022</v>
      </c>
      <c r="F4">
        <f t="shared" si="0"/>
        <v>-2.0780425132302272E-2</v>
      </c>
      <c r="H4" s="1"/>
    </row>
    <row r="5" spans="1:12" x14ac:dyDescent="0.25">
      <c r="A5" s="39">
        <v>1.5999999999999999E-5</v>
      </c>
      <c r="B5" s="39">
        <v>1.41204</v>
      </c>
      <c r="C5" s="3" t="s">
        <v>22</v>
      </c>
      <c r="D5">
        <f>('1_Rh110 in buffer'!D5+'2_Rh110 in buffer'!D5)/2</f>
        <v>5.9953640241376469</v>
      </c>
      <c r="E5" s="2">
        <f t="shared" si="1"/>
        <v>1.4267219732956939</v>
      </c>
      <c r="F5">
        <f t="shared" si="0"/>
        <v>-1.4681973295693984E-2</v>
      </c>
      <c r="H5" s="1"/>
    </row>
    <row r="6" spans="1:12" x14ac:dyDescent="0.25">
      <c r="A6" s="39">
        <v>2.0000000000000002E-5</v>
      </c>
      <c r="B6" s="39">
        <v>1.4376800000000001</v>
      </c>
      <c r="C6" s="3" t="s">
        <v>25</v>
      </c>
      <c r="D6">
        <v>1.6354917888896237</v>
      </c>
      <c r="E6" s="2">
        <f t="shared" si="1"/>
        <v>1.4257344274228525</v>
      </c>
      <c r="F6">
        <f t="shared" si="0"/>
        <v>1.1945572577147567E-2</v>
      </c>
      <c r="H6" s="1"/>
    </row>
    <row r="7" spans="1:12" x14ac:dyDescent="0.25">
      <c r="A7" s="39">
        <v>2.4000000000000001E-5</v>
      </c>
      <c r="B7" s="39">
        <v>1.42405</v>
      </c>
      <c r="C7" s="3" t="s">
        <v>22</v>
      </c>
      <c r="D7">
        <f>('1_Rh110 in buffer'!D5+'2_Rh110 in buffer'!D5)/2</f>
        <v>5.9953640241376469</v>
      </c>
      <c r="E7" s="2">
        <f t="shared" si="1"/>
        <v>1.424829891455325</v>
      </c>
      <c r="F7">
        <f t="shared" si="0"/>
        <v>-7.7989145532497695E-4</v>
      </c>
      <c r="H7" s="1"/>
    </row>
    <row r="8" spans="1:12" x14ac:dyDescent="0.25">
      <c r="A8" s="39">
        <v>2.8E-5</v>
      </c>
      <c r="B8" s="39">
        <v>1.42746</v>
      </c>
      <c r="C8" s="3" t="s">
        <v>13</v>
      </c>
      <c r="D8">
        <v>0.54291738788093202</v>
      </c>
      <c r="E8" s="2">
        <f t="shared" si="1"/>
        <v>1.4240011554245764</v>
      </c>
      <c r="F8">
        <f t="shared" si="0"/>
        <v>3.4588445754235586E-3</v>
      </c>
      <c r="H8" s="1"/>
    </row>
    <row r="9" spans="1:12" x14ac:dyDescent="0.25">
      <c r="A9" s="39">
        <v>3.1999999999999999E-5</v>
      </c>
      <c r="B9" s="39">
        <v>1.4174199999999999</v>
      </c>
      <c r="C9" s="3" t="s">
        <v>14</v>
      </c>
      <c r="D9">
        <v>5.9630695604693931E-2</v>
      </c>
      <c r="E9" s="2">
        <f t="shared" si="1"/>
        <v>1.4232416358372288</v>
      </c>
      <c r="F9">
        <f t="shared" si="0"/>
        <v>-5.8216358372289445E-3</v>
      </c>
      <c r="H9" s="1"/>
    </row>
    <row r="10" spans="1:12" x14ac:dyDescent="0.25">
      <c r="A10" s="39">
        <v>3.6000000000000001E-5</v>
      </c>
      <c r="B10" s="39">
        <v>1.41581</v>
      </c>
      <c r="C10" s="3" t="s">
        <v>24</v>
      </c>
      <c r="D10">
        <v>3.4180583100941156E-3</v>
      </c>
      <c r="E10" s="2">
        <f t="shared" si="1"/>
        <v>1.4225453212402634</v>
      </c>
      <c r="F10">
        <f t="shared" si="0"/>
        <v>-6.7353212402634366E-3</v>
      </c>
      <c r="H10" s="1"/>
    </row>
    <row r="11" spans="1:12" x14ac:dyDescent="0.25">
      <c r="A11" s="39">
        <v>4.0000000000000003E-5</v>
      </c>
      <c r="B11" s="39">
        <v>1.44987</v>
      </c>
      <c r="C11" s="3" t="s">
        <v>15</v>
      </c>
      <c r="D11">
        <v>4.0238863697871177E-2</v>
      </c>
      <c r="E11" s="2">
        <f t="shared" si="1"/>
        <v>1.4219067225160948</v>
      </c>
      <c r="F11">
        <f t="shared" si="0"/>
        <v>2.7963277483905147E-2</v>
      </c>
      <c r="H11" s="1"/>
    </row>
    <row r="12" spans="1:12" x14ac:dyDescent="0.25">
      <c r="A12" s="39">
        <v>4.3999999999999999E-5</v>
      </c>
      <c r="B12" s="39">
        <v>1.4346300000000001</v>
      </c>
      <c r="C12" s="3" t="s">
        <v>23</v>
      </c>
      <c r="D12" s="1">
        <v>4.4010791879815586E-5</v>
      </c>
      <c r="E12" s="2">
        <f t="shared" si="1"/>
        <v>1.4213208274965368</v>
      </c>
      <c r="F12">
        <f t="shared" si="0"/>
        <v>1.3309172503463307E-2</v>
      </c>
      <c r="H12" s="1"/>
    </row>
    <row r="13" spans="1:12" x14ac:dyDescent="0.25">
      <c r="A13" s="39">
        <v>4.8000000000000001E-5</v>
      </c>
      <c r="B13" s="39">
        <v>1.3982399999999999</v>
      </c>
      <c r="E13" s="2">
        <f t="shared" si="1"/>
        <v>1.4207830595203876</v>
      </c>
      <c r="F13">
        <f t="shared" si="0"/>
        <v>-2.2543059520387709E-2</v>
      </c>
      <c r="H13" s="1"/>
    </row>
    <row r="14" spans="1:12" x14ac:dyDescent="0.25">
      <c r="A14" s="39">
        <v>5.1999999999999997E-5</v>
      </c>
      <c r="B14" s="39">
        <v>1.4063099999999999</v>
      </c>
      <c r="E14" s="2">
        <f t="shared" si="1"/>
        <v>1.4202892395919706</v>
      </c>
      <c r="F14">
        <f t="shared" si="0"/>
        <v>-1.3979239591970671E-2</v>
      </c>
      <c r="H14" s="1"/>
    </row>
    <row r="15" spans="1:12" x14ac:dyDescent="0.25">
      <c r="A15" s="39">
        <v>5.5999999999999999E-5</v>
      </c>
      <c r="B15" s="39">
        <v>1.4310499999999999</v>
      </c>
      <c r="E15" s="2">
        <f t="shared" si="1"/>
        <v>1.4198355518277439</v>
      </c>
      <c r="F15">
        <f t="shared" si="0"/>
        <v>1.1214448172256031E-2</v>
      </c>
      <c r="H15" s="1"/>
    </row>
    <row r="16" spans="1:12" x14ac:dyDescent="0.25">
      <c r="A16" s="39">
        <v>6.0000000000000002E-5</v>
      </c>
      <c r="B16" s="39">
        <v>1.4261999999999999</v>
      </c>
      <c r="E16" s="2">
        <f t="shared" si="1"/>
        <v>1.4194185119052742</v>
      </c>
      <c r="F16">
        <f t="shared" si="0"/>
        <v>6.7814880947256739E-3</v>
      </c>
      <c r="H16" s="1"/>
    </row>
    <row r="17" spans="1:8" x14ac:dyDescent="0.25">
      <c r="A17" s="39">
        <v>6.3999999999999997E-5</v>
      </c>
      <c r="B17" s="39">
        <v>1.40846</v>
      </c>
      <c r="E17" s="2">
        <f t="shared" si="1"/>
        <v>1.4190349382536966</v>
      </c>
      <c r="F17">
        <f t="shared" si="0"/>
        <v>-1.0574938253696597E-2</v>
      </c>
      <c r="H17" s="1"/>
    </row>
    <row r="18" spans="1:8" x14ac:dyDescent="0.25">
      <c r="A18" s="39">
        <v>7.2000000000000002E-5</v>
      </c>
      <c r="B18" s="39">
        <v>1.4219900000000001</v>
      </c>
      <c r="E18" s="2">
        <f t="shared" si="1"/>
        <v>1.4183568216858089</v>
      </c>
      <c r="F18">
        <f t="shared" si="0"/>
        <v>3.6331783141911878E-3</v>
      </c>
      <c r="H18" s="1"/>
    </row>
    <row r="19" spans="1:8" x14ac:dyDescent="0.25">
      <c r="A19" s="39">
        <v>8.0000000000000007E-5</v>
      </c>
      <c r="B19" s="39">
        <v>1.42638</v>
      </c>
      <c r="E19" s="2">
        <f t="shared" si="1"/>
        <v>1.4177808605231774</v>
      </c>
      <c r="F19">
        <f t="shared" si="0"/>
        <v>8.5991394768225593E-3</v>
      </c>
      <c r="H19" s="1"/>
    </row>
    <row r="20" spans="1:8" x14ac:dyDescent="0.25">
      <c r="A20" s="39">
        <v>8.7999999999999998E-5</v>
      </c>
      <c r="B20" s="39">
        <v>1.4157200000000001</v>
      </c>
      <c r="E20" s="2">
        <f t="shared" si="1"/>
        <v>1.4172900945239353</v>
      </c>
      <c r="F20">
        <f t="shared" si="0"/>
        <v>-1.5700945239351949E-3</v>
      </c>
      <c r="H20" s="1"/>
    </row>
    <row r="21" spans="1:8" x14ac:dyDescent="0.25">
      <c r="A21" s="39">
        <v>9.6000000000000002E-5</v>
      </c>
      <c r="B21" s="39">
        <v>1.41903</v>
      </c>
      <c r="E21" s="2">
        <f t="shared" si="1"/>
        <v>1.4168703827179463</v>
      </c>
      <c r="F21">
        <f t="shared" si="0"/>
        <v>2.1596172820537163E-3</v>
      </c>
      <c r="H21" s="1"/>
    </row>
    <row r="22" spans="1:8" x14ac:dyDescent="0.25">
      <c r="A22" s="39">
        <v>1.0399999999999999E-4</v>
      </c>
      <c r="B22" s="39">
        <v>1.4149099999999999</v>
      </c>
      <c r="E22" s="2">
        <f t="shared" si="1"/>
        <v>1.4165099347559615</v>
      </c>
      <c r="F22">
        <f t="shared" si="0"/>
        <v>-1.5999347559616517E-3</v>
      </c>
      <c r="H22" s="1"/>
    </row>
    <row r="23" spans="1:8" x14ac:dyDescent="0.25">
      <c r="A23" s="39">
        <v>1.12E-4</v>
      </c>
      <c r="B23" s="39">
        <v>1.40595</v>
      </c>
      <c r="E23" s="2">
        <f t="shared" si="1"/>
        <v>1.4161989201631728</v>
      </c>
      <c r="F23">
        <f t="shared" si="0"/>
        <v>-1.0248920163172803E-2</v>
      </c>
      <c r="H23" s="1"/>
    </row>
    <row r="24" spans="1:8" x14ac:dyDescent="0.25">
      <c r="A24" s="39">
        <v>1.2E-4</v>
      </c>
      <c r="B24" s="39">
        <v>1.40012</v>
      </c>
      <c r="E24" s="2">
        <f t="shared" si="1"/>
        <v>1.4159291425470282</v>
      </c>
      <c r="F24">
        <f t="shared" si="0"/>
        <v>-1.5809142547028143E-2</v>
      </c>
      <c r="H24" s="1"/>
    </row>
    <row r="25" spans="1:8" x14ac:dyDescent="0.25">
      <c r="A25" s="39">
        <v>1.2799999999999999E-4</v>
      </c>
      <c r="B25" s="39">
        <v>1.4111499999999999</v>
      </c>
      <c r="E25" s="2">
        <f t="shared" si="1"/>
        <v>1.4156937679618753</v>
      </c>
      <c r="F25">
        <f t="shared" si="0"/>
        <v>-4.543767961875389E-3</v>
      </c>
      <c r="H25" s="1"/>
    </row>
    <row r="26" spans="1:8" x14ac:dyDescent="0.25">
      <c r="A26" s="39">
        <v>1.44E-4</v>
      </c>
      <c r="B26" s="39">
        <v>1.42638</v>
      </c>
      <c r="E26" s="2">
        <f t="shared" si="1"/>
        <v>1.4153043830981809</v>
      </c>
      <c r="F26">
        <f t="shared" si="0"/>
        <v>1.107561690181913E-2</v>
      </c>
      <c r="H26" s="1"/>
    </row>
    <row r="27" spans="1:8" x14ac:dyDescent="0.25">
      <c r="A27" s="39">
        <v>1.6000000000000001E-4</v>
      </c>
      <c r="B27" s="39">
        <v>1.41747</v>
      </c>
      <c r="E27" s="2">
        <f t="shared" si="1"/>
        <v>1.4149956288433012</v>
      </c>
      <c r="F27">
        <f t="shared" si="0"/>
        <v>2.4743711566987958E-3</v>
      </c>
      <c r="H27" s="1"/>
    </row>
    <row r="28" spans="1:8" x14ac:dyDescent="0.25">
      <c r="A28" s="39">
        <v>1.76E-4</v>
      </c>
      <c r="B28" s="39">
        <v>1.4151400000000001</v>
      </c>
      <c r="E28" s="2">
        <f t="shared" si="1"/>
        <v>1.4147430784666004</v>
      </c>
      <c r="F28">
        <f t="shared" si="0"/>
        <v>3.969215333996523E-4</v>
      </c>
      <c r="H28" s="1"/>
    </row>
    <row r="29" spans="1:8" x14ac:dyDescent="0.25">
      <c r="A29" s="39">
        <v>1.92E-4</v>
      </c>
      <c r="B29" s="39">
        <v>1.40985</v>
      </c>
      <c r="E29" s="2">
        <f t="shared" si="1"/>
        <v>1.4145297505145651</v>
      </c>
      <c r="F29">
        <f t="shared" si="0"/>
        <v>-4.6797505145650398E-3</v>
      </c>
      <c r="H29" s="1"/>
    </row>
    <row r="30" spans="1:8" x14ac:dyDescent="0.25">
      <c r="A30" s="39">
        <v>2.0799999999999999E-4</v>
      </c>
      <c r="B30" s="39">
        <v>1.41276</v>
      </c>
      <c r="E30" s="2">
        <f t="shared" si="1"/>
        <v>1.4143438392733769</v>
      </c>
      <c r="F30">
        <f t="shared" si="0"/>
        <v>-1.583839273376908E-3</v>
      </c>
      <c r="H30" s="1"/>
    </row>
    <row r="31" spans="1:8" x14ac:dyDescent="0.25">
      <c r="A31" s="39">
        <v>2.24E-4</v>
      </c>
      <c r="B31" s="39">
        <v>1.4050499999999999</v>
      </c>
      <c r="E31" s="2">
        <f t="shared" si="1"/>
        <v>1.414177137053662</v>
      </c>
      <c r="F31">
        <f t="shared" si="0"/>
        <v>-9.1271370536620822E-3</v>
      </c>
      <c r="H31" s="1"/>
    </row>
    <row r="32" spans="1:8" x14ac:dyDescent="0.25">
      <c r="A32" s="39">
        <v>2.4000000000000001E-4</v>
      </c>
      <c r="B32" s="39">
        <v>1.4235199999999999</v>
      </c>
      <c r="E32" s="2">
        <f t="shared" si="1"/>
        <v>1.4140239374095269</v>
      </c>
      <c r="F32">
        <f t="shared" si="0"/>
        <v>9.4960625904729756E-3</v>
      </c>
      <c r="H32" s="1"/>
    </row>
    <row r="33" spans="1:8" x14ac:dyDescent="0.25">
      <c r="A33" s="39">
        <v>2.5599999999999999E-4</v>
      </c>
      <c r="B33" s="39">
        <v>1.41852</v>
      </c>
      <c r="E33" s="2">
        <f t="shared" si="1"/>
        <v>1.4138802726888746</v>
      </c>
      <c r="F33">
        <f t="shared" si="0"/>
        <v>4.6397273111253856E-3</v>
      </c>
      <c r="H33" s="1"/>
    </row>
    <row r="34" spans="1:8" x14ac:dyDescent="0.25">
      <c r="A34" s="39">
        <v>2.8800000000000001E-4</v>
      </c>
      <c r="B34" s="39">
        <v>1.4175599999999999</v>
      </c>
      <c r="E34" s="2">
        <f t="shared" si="1"/>
        <v>1.4136113527533332</v>
      </c>
      <c r="F34">
        <f t="shared" si="0"/>
        <v>3.9486472466667699E-3</v>
      </c>
      <c r="H34" s="1"/>
    </row>
    <row r="35" spans="1:8" x14ac:dyDescent="0.25">
      <c r="A35" s="39">
        <v>3.2000000000000003E-4</v>
      </c>
      <c r="B35" s="39">
        <v>1.41455</v>
      </c>
      <c r="E35" s="2">
        <f t="shared" si="1"/>
        <v>1.4133569309150147</v>
      </c>
      <c r="F35">
        <f t="shared" si="0"/>
        <v>1.1930690849852876E-3</v>
      </c>
      <c r="H35" s="1"/>
    </row>
    <row r="36" spans="1:8" x14ac:dyDescent="0.25">
      <c r="A36" s="39">
        <v>3.5199999999999999E-4</v>
      </c>
      <c r="B36" s="39">
        <v>1.41605</v>
      </c>
      <c r="E36" s="2">
        <f t="shared" si="1"/>
        <v>1.413110499766991</v>
      </c>
      <c r="F36">
        <f t="shared" si="0"/>
        <v>2.9395002330090403E-3</v>
      </c>
      <c r="H36" s="1"/>
    </row>
    <row r="37" spans="1:8" x14ac:dyDescent="0.25">
      <c r="A37" s="39">
        <v>3.8400000000000001E-4</v>
      </c>
      <c r="B37" s="39">
        <v>1.4190799999999999</v>
      </c>
      <c r="E37" s="2">
        <f t="shared" si="1"/>
        <v>1.4128689053084145</v>
      </c>
      <c r="F37">
        <f t="shared" si="0"/>
        <v>6.2110946915854282E-3</v>
      </c>
      <c r="H37" s="1"/>
    </row>
    <row r="38" spans="1:8" x14ac:dyDescent="0.25">
      <c r="A38" s="39">
        <v>4.1599999999999997E-4</v>
      </c>
      <c r="B38" s="39">
        <v>1.40622</v>
      </c>
      <c r="E38" s="2">
        <f t="shared" si="1"/>
        <v>1.41263061419886</v>
      </c>
      <c r="F38">
        <f t="shared" si="0"/>
        <v>-6.4106141988600207E-3</v>
      </c>
      <c r="H38" s="1"/>
    </row>
    <row r="39" spans="1:8" x14ac:dyDescent="0.25">
      <c r="A39" s="39">
        <v>4.4799999999999999E-4</v>
      </c>
      <c r="B39" s="39">
        <v>1.4102300000000001</v>
      </c>
      <c r="E39" s="2">
        <f t="shared" si="1"/>
        <v>1.4123948763874812</v>
      </c>
      <c r="F39">
        <f t="shared" si="0"/>
        <v>-2.164876387481085E-3</v>
      </c>
      <c r="H39" s="1"/>
    </row>
    <row r="40" spans="1:8" x14ac:dyDescent="0.25">
      <c r="A40" s="39">
        <v>4.8000000000000001E-4</v>
      </c>
      <c r="B40" s="39">
        <v>1.4204000000000001</v>
      </c>
      <c r="E40" s="2">
        <f t="shared" si="1"/>
        <v>1.4121613204427339</v>
      </c>
      <c r="F40">
        <f t="shared" si="0"/>
        <v>8.2386795572662042E-3</v>
      </c>
      <c r="H40" s="1"/>
    </row>
    <row r="41" spans="1:8" x14ac:dyDescent="0.25">
      <c r="A41" s="39">
        <v>5.1199999999999998E-4</v>
      </c>
      <c r="B41" s="39">
        <v>1.41479</v>
      </c>
      <c r="E41" s="2">
        <f t="shared" si="1"/>
        <v>1.4119297579898218</v>
      </c>
      <c r="F41">
        <f t="shared" si="0"/>
        <v>2.8602420101782045E-3</v>
      </c>
      <c r="H41" s="1"/>
    </row>
    <row r="42" spans="1:8" x14ac:dyDescent="0.25">
      <c r="A42" s="39">
        <v>5.7600000000000001E-4</v>
      </c>
      <c r="B42" s="39">
        <v>1.40903</v>
      </c>
      <c r="E42" s="2">
        <f t="shared" si="1"/>
        <v>1.4114722571270852</v>
      </c>
      <c r="F42">
        <f t="shared" si="0"/>
        <v>-2.4422571270852345E-3</v>
      </c>
      <c r="H42" s="1"/>
    </row>
    <row r="43" spans="1:8" x14ac:dyDescent="0.25">
      <c r="A43" s="39">
        <v>6.4000000000000005E-4</v>
      </c>
      <c r="B43" s="39">
        <v>1.41171</v>
      </c>
      <c r="E43" s="2">
        <f t="shared" si="1"/>
        <v>1.4110219686493406</v>
      </c>
      <c r="F43">
        <f t="shared" si="0"/>
        <v>6.8803135065942378E-4</v>
      </c>
      <c r="H43" s="1"/>
    </row>
    <row r="44" spans="1:8" x14ac:dyDescent="0.25">
      <c r="A44" s="39">
        <v>7.0399999999999998E-4</v>
      </c>
      <c r="B44" s="39">
        <v>1.41492</v>
      </c>
      <c r="E44" s="2">
        <f t="shared" si="1"/>
        <v>1.410578696689754</v>
      </c>
      <c r="F44">
        <f t="shared" si="0"/>
        <v>4.3413033102459586E-3</v>
      </c>
      <c r="H44" s="1"/>
    </row>
    <row r="45" spans="1:8" x14ac:dyDescent="0.25">
      <c r="A45" s="39">
        <v>7.6800000000000002E-4</v>
      </c>
      <c r="B45" s="39">
        <v>1.40551</v>
      </c>
      <c r="E45" s="2">
        <f t="shared" si="1"/>
        <v>1.4101422961569892</v>
      </c>
      <c r="F45">
        <f t="shared" si="0"/>
        <v>-4.6322961569891241E-3</v>
      </c>
      <c r="H45" s="1"/>
    </row>
    <row r="46" spans="1:8" x14ac:dyDescent="0.25">
      <c r="A46" s="39">
        <v>8.3199999999999995E-4</v>
      </c>
      <c r="B46" s="39">
        <v>1.40584</v>
      </c>
      <c r="E46" s="2">
        <f t="shared" si="1"/>
        <v>1.4097126356813559</v>
      </c>
      <c r="F46">
        <f t="shared" si="0"/>
        <v>-3.8726356813558738E-3</v>
      </c>
      <c r="H46" s="1"/>
    </row>
    <row r="47" spans="1:8" x14ac:dyDescent="0.25">
      <c r="A47" s="39">
        <v>8.9599999999999999E-4</v>
      </c>
      <c r="B47" s="39">
        <v>1.40831</v>
      </c>
      <c r="E47" s="2">
        <f t="shared" si="1"/>
        <v>1.4092895889262</v>
      </c>
      <c r="F47">
        <f t="shared" si="0"/>
        <v>-9.795889262000923E-4</v>
      </c>
      <c r="H47" s="1"/>
    </row>
    <row r="48" spans="1:8" x14ac:dyDescent="0.25">
      <c r="A48" s="39">
        <v>9.6000000000000002E-4</v>
      </c>
      <c r="B48" s="39">
        <v>1.41116</v>
      </c>
      <c r="E48" s="2">
        <f t="shared" si="1"/>
        <v>1.4088730325244296</v>
      </c>
      <c r="F48">
        <f t="shared" si="0"/>
        <v>2.286967475570334E-3</v>
      </c>
      <c r="H48" s="1"/>
    </row>
    <row r="49" spans="1:8" x14ac:dyDescent="0.25">
      <c r="A49" s="39">
        <v>1.024E-3</v>
      </c>
      <c r="B49" s="39">
        <v>1.40604</v>
      </c>
      <c r="E49" s="2">
        <f t="shared" si="1"/>
        <v>1.4084628455629369</v>
      </c>
      <c r="F49">
        <f t="shared" si="0"/>
        <v>-2.4228455629369261E-3</v>
      </c>
      <c r="H49" s="1"/>
    </row>
    <row r="50" spans="1:8" x14ac:dyDescent="0.25">
      <c r="A50" s="39">
        <v>1.152E-3</v>
      </c>
      <c r="B50" s="39">
        <v>1.4097900000000001</v>
      </c>
      <c r="E50" s="2">
        <f t="shared" si="1"/>
        <v>1.4076611077427694</v>
      </c>
      <c r="F50">
        <f t="shared" si="0"/>
        <v>2.1288922572306745E-3</v>
      </c>
      <c r="H50" s="1"/>
    </row>
    <row r="51" spans="1:8" x14ac:dyDescent="0.25">
      <c r="A51" s="39">
        <v>1.2800000000000001E-3</v>
      </c>
      <c r="B51" s="39">
        <v>1.4075</v>
      </c>
      <c r="E51" s="2">
        <f t="shared" si="1"/>
        <v>1.4068834530713432</v>
      </c>
      <c r="F51">
        <f t="shared" si="0"/>
        <v>6.165469286567582E-4</v>
      </c>
      <c r="H51" s="1"/>
    </row>
    <row r="52" spans="1:8" x14ac:dyDescent="0.25">
      <c r="A52" s="39">
        <v>1.408E-3</v>
      </c>
      <c r="B52" s="39">
        <v>1.4063099999999999</v>
      </c>
      <c r="E52" s="2">
        <f t="shared" si="1"/>
        <v>1.4061289934463681</v>
      </c>
      <c r="F52">
        <f t="shared" si="0"/>
        <v>1.8100655363184615E-4</v>
      </c>
      <c r="H52" s="1"/>
    </row>
    <row r="53" spans="1:8" x14ac:dyDescent="0.25">
      <c r="A53" s="39">
        <v>1.536E-3</v>
      </c>
      <c r="B53" s="39">
        <v>1.40621</v>
      </c>
      <c r="E53" s="2">
        <f t="shared" si="1"/>
        <v>1.4053968737661153</v>
      </c>
      <c r="F53">
        <f t="shared" si="0"/>
        <v>8.1312623388463123E-4</v>
      </c>
      <c r="H53" s="1"/>
    </row>
    <row r="54" spans="1:8" x14ac:dyDescent="0.25">
      <c r="A54" s="39">
        <v>1.6639999999999999E-3</v>
      </c>
      <c r="B54" s="39">
        <v>1.40178</v>
      </c>
      <c r="E54" s="2">
        <f t="shared" si="1"/>
        <v>1.4046862707015206</v>
      </c>
      <c r="F54">
        <f t="shared" si="0"/>
        <v>-2.906270701520608E-3</v>
      </c>
      <c r="H54" s="1"/>
    </row>
    <row r="55" spans="1:8" x14ac:dyDescent="0.25">
      <c r="A55" s="39">
        <v>1.792E-3</v>
      </c>
      <c r="B55" s="39">
        <v>1.4016</v>
      </c>
      <c r="E55" s="2">
        <f t="shared" si="1"/>
        <v>1.4039963915148079</v>
      </c>
      <c r="F55">
        <f t="shared" si="0"/>
        <v>-2.3963915148079717E-3</v>
      </c>
      <c r="H55" s="1"/>
    </row>
    <row r="56" spans="1:8" x14ac:dyDescent="0.25">
      <c r="A56" s="39">
        <v>1.92E-3</v>
      </c>
      <c r="B56" s="39">
        <v>1.40158</v>
      </c>
      <c r="E56" s="2">
        <f t="shared" si="1"/>
        <v>1.4033264729220938</v>
      </c>
      <c r="F56">
        <f t="shared" si="0"/>
        <v>-1.7464729220937336E-3</v>
      </c>
      <c r="H56" s="1"/>
    </row>
    <row r="57" spans="1:8" x14ac:dyDescent="0.25">
      <c r="A57" s="39">
        <v>2.0479999999999999E-3</v>
      </c>
      <c r="B57" s="39">
        <v>1.4025700000000001</v>
      </c>
      <c r="E57" s="2">
        <f t="shared" si="1"/>
        <v>1.4026757799982985</v>
      </c>
      <c r="F57">
        <f t="shared" si="0"/>
        <v>-1.0577999829841644E-4</v>
      </c>
      <c r="H57" s="1"/>
    </row>
    <row r="58" spans="1:8" x14ac:dyDescent="0.25">
      <c r="A58" s="39">
        <v>2.3040000000000001E-3</v>
      </c>
      <c r="B58" s="39">
        <v>1.39994</v>
      </c>
      <c r="E58" s="2">
        <f t="shared" si="1"/>
        <v>1.4014292669641903</v>
      </c>
      <c r="F58">
        <f t="shared" si="0"/>
        <v>-1.4892669641903833E-3</v>
      </c>
      <c r="H58" s="1"/>
    </row>
    <row r="59" spans="1:8" x14ac:dyDescent="0.25">
      <c r="A59" s="39">
        <v>2.5600000000000002E-3</v>
      </c>
      <c r="B59" s="39">
        <v>1.39958</v>
      </c>
      <c r="E59" s="2">
        <f t="shared" si="1"/>
        <v>1.4002515010907843</v>
      </c>
      <c r="F59">
        <f t="shared" si="0"/>
        <v>-6.7150109078428777E-4</v>
      </c>
      <c r="H59" s="1"/>
    </row>
    <row r="60" spans="1:8" x14ac:dyDescent="0.25">
      <c r="A60" s="39">
        <v>2.8159999999999999E-3</v>
      </c>
      <c r="B60" s="39">
        <v>1.3971899999999999</v>
      </c>
      <c r="E60" s="2">
        <f t="shared" si="1"/>
        <v>1.3991375212698818</v>
      </c>
      <c r="F60">
        <f t="shared" si="0"/>
        <v>-1.9475212698818467E-3</v>
      </c>
      <c r="H60" s="1"/>
    </row>
    <row r="61" spans="1:8" x14ac:dyDescent="0.25">
      <c r="A61" s="39">
        <v>3.0720000000000001E-3</v>
      </c>
      <c r="B61" s="39">
        <v>1.3940699999999999</v>
      </c>
      <c r="E61" s="2">
        <f t="shared" si="1"/>
        <v>1.3980827281317956</v>
      </c>
      <c r="F61">
        <f t="shared" si="0"/>
        <v>-4.0127281317956509E-3</v>
      </c>
      <c r="H61" s="1"/>
    </row>
    <row r="62" spans="1:8" x14ac:dyDescent="0.25">
      <c r="A62" s="39">
        <v>3.3279999999999998E-3</v>
      </c>
      <c r="B62" s="39">
        <v>1.3976599999999999</v>
      </c>
      <c r="E62" s="2">
        <f t="shared" si="1"/>
        <v>1.3970828576488608</v>
      </c>
      <c r="F62">
        <f t="shared" si="0"/>
        <v>5.7714235113914825E-4</v>
      </c>
      <c r="H62" s="1"/>
    </row>
    <row r="63" spans="1:8" x14ac:dyDescent="0.25">
      <c r="A63" s="39">
        <v>3.5839999999999999E-3</v>
      </c>
      <c r="B63" s="39">
        <v>1.3972899999999999</v>
      </c>
      <c r="E63" s="2">
        <f t="shared" si="1"/>
        <v>1.3961339566656836</v>
      </c>
      <c r="F63">
        <f t="shared" si="0"/>
        <v>1.1560433343162924E-3</v>
      </c>
      <c r="H63" s="1"/>
    </row>
    <row r="64" spans="1:8" x14ac:dyDescent="0.25">
      <c r="A64" s="39">
        <v>3.8400000000000001E-3</v>
      </c>
      <c r="B64" s="39">
        <v>1.39683</v>
      </c>
      <c r="E64" s="2">
        <f t="shared" si="1"/>
        <v>1.3952323602154553</v>
      </c>
      <c r="F64">
        <f t="shared" si="0"/>
        <v>1.5976397845447465E-3</v>
      </c>
      <c r="H64" s="1"/>
    </row>
    <row r="65" spans="1:8" x14ac:dyDescent="0.25">
      <c r="A65" s="39">
        <v>4.0959999999999998E-3</v>
      </c>
      <c r="B65" s="39">
        <v>1.3950199999999999</v>
      </c>
      <c r="E65" s="2">
        <f t="shared" si="1"/>
        <v>1.3943746704919293</v>
      </c>
      <c r="F65">
        <f t="shared" si="0"/>
        <v>6.453295080706134E-4</v>
      </c>
      <c r="H65" s="1"/>
    </row>
    <row r="66" spans="1:8" x14ac:dyDescent="0.25">
      <c r="A66" s="39">
        <v>4.6080000000000001E-3</v>
      </c>
      <c r="B66" s="39">
        <v>1.3920999999999999</v>
      </c>
      <c r="E66" s="2">
        <f t="shared" si="1"/>
        <v>1.3927786402661408</v>
      </c>
      <c r="F66">
        <f t="shared" ref="F66:F129" si="2">B66-E66</f>
        <v>-6.7864026614095074E-4</v>
      </c>
      <c r="H66" s="1"/>
    </row>
    <row r="67" spans="1:8" x14ac:dyDescent="0.25">
      <c r="A67" s="39">
        <v>5.1200000000000004E-3</v>
      </c>
      <c r="B67" s="39">
        <v>1.3945099999999999</v>
      </c>
      <c r="E67" s="2">
        <f t="shared" ref="E67:E130" si="3">$D$2+1/$D$3*($D$8/(1+A67/$D$4)/SQRT(1+A67/$D$4/$D$5/$D$5)+(1-$D$8)/(1+A67/$D$6)/SQRT(1+A67/$D$6/$D$7/$D$7))*(1+$D$9*EXP(-A67/$D$10)+$D$11*EXP(-A67/$D$12))</f>
        <v>1.391323320751741</v>
      </c>
      <c r="F67">
        <f t="shared" si="2"/>
        <v>3.1866792482588835E-3</v>
      </c>
      <c r="H67" s="1"/>
    </row>
    <row r="68" spans="1:8" x14ac:dyDescent="0.25">
      <c r="A68" s="39">
        <v>5.6319999999999999E-3</v>
      </c>
      <c r="B68" s="39">
        <v>1.39419</v>
      </c>
      <c r="E68" s="2">
        <f t="shared" si="3"/>
        <v>1.3899893328438964</v>
      </c>
      <c r="F68">
        <f t="shared" si="2"/>
        <v>4.2006671561036768E-3</v>
      </c>
      <c r="H68" s="1"/>
    </row>
    <row r="69" spans="1:8" x14ac:dyDescent="0.25">
      <c r="A69" s="39">
        <v>6.1440000000000002E-3</v>
      </c>
      <c r="B69" s="39">
        <v>1.38957</v>
      </c>
      <c r="E69" s="2">
        <f t="shared" si="3"/>
        <v>1.3887600184401909</v>
      </c>
      <c r="F69">
        <f t="shared" si="2"/>
        <v>8.0998155980904762E-4</v>
      </c>
      <c r="H69" s="1"/>
    </row>
    <row r="70" spans="1:8" x14ac:dyDescent="0.25">
      <c r="A70" s="39">
        <v>6.6559999999999996E-3</v>
      </c>
      <c r="B70" s="39">
        <v>1.3858900000000001</v>
      </c>
      <c r="E70" s="2">
        <f t="shared" si="3"/>
        <v>1.3876210579106059</v>
      </c>
      <c r="F70">
        <f t="shared" si="2"/>
        <v>-1.7310579106057933E-3</v>
      </c>
      <c r="H70" s="1"/>
    </row>
    <row r="71" spans="1:8" x14ac:dyDescent="0.25">
      <c r="A71" s="39">
        <v>7.1679999999999999E-3</v>
      </c>
      <c r="B71" s="39">
        <v>1.3856999999999999</v>
      </c>
      <c r="E71" s="2">
        <f t="shared" si="3"/>
        <v>1.3865601413612334</v>
      </c>
      <c r="F71">
        <f t="shared" si="2"/>
        <v>-8.6014136123346852E-4</v>
      </c>
      <c r="H71" s="1"/>
    </row>
    <row r="72" spans="1:8" x14ac:dyDescent="0.25">
      <c r="A72" s="39">
        <v>7.6800000000000002E-3</v>
      </c>
      <c r="B72" s="39">
        <v>1.3856599999999999</v>
      </c>
      <c r="E72" s="2">
        <f t="shared" si="3"/>
        <v>1.3855666861251084</v>
      </c>
      <c r="F72">
        <f t="shared" si="2"/>
        <v>9.3313874891531867E-5</v>
      </c>
      <c r="H72" s="1"/>
    </row>
    <row r="73" spans="1:8" x14ac:dyDescent="0.25">
      <c r="A73" s="39">
        <v>8.1919999999999996E-3</v>
      </c>
      <c r="B73" s="39">
        <v>1.38408</v>
      </c>
      <c r="E73" s="2">
        <f t="shared" si="3"/>
        <v>1.38463159397811</v>
      </c>
      <c r="F73">
        <f t="shared" si="2"/>
        <v>-5.5159397810999877E-4</v>
      </c>
      <c r="H73" s="1"/>
    </row>
    <row r="74" spans="1:8" x14ac:dyDescent="0.25">
      <c r="A74" s="39">
        <v>9.2160000000000002E-3</v>
      </c>
      <c r="B74" s="39">
        <v>1.38483</v>
      </c>
      <c r="E74" s="2">
        <f t="shared" si="3"/>
        <v>1.3829063057279132</v>
      </c>
      <c r="F74">
        <f t="shared" si="2"/>
        <v>1.9236942720868289E-3</v>
      </c>
      <c r="H74" s="1"/>
    </row>
    <row r="75" spans="1:8" x14ac:dyDescent="0.25">
      <c r="A75" s="39">
        <v>1.0240000000000001E-2</v>
      </c>
      <c r="B75" s="39">
        <v>1.38242</v>
      </c>
      <c r="E75" s="2">
        <f t="shared" si="3"/>
        <v>1.3813339521020942</v>
      </c>
      <c r="F75">
        <f t="shared" si="2"/>
        <v>1.0860478979057842E-3</v>
      </c>
      <c r="H75" s="1"/>
    </row>
    <row r="76" spans="1:8" x14ac:dyDescent="0.25">
      <c r="A76" s="39">
        <v>1.1264E-2</v>
      </c>
      <c r="B76" s="39">
        <v>1.38104</v>
      </c>
      <c r="E76" s="2">
        <f t="shared" si="3"/>
        <v>1.3798773172320395</v>
      </c>
      <c r="F76">
        <f t="shared" si="2"/>
        <v>1.162682767960499E-3</v>
      </c>
      <c r="H76" s="1"/>
    </row>
    <row r="77" spans="1:8" x14ac:dyDescent="0.25">
      <c r="A77" s="39">
        <v>1.2288E-2</v>
      </c>
      <c r="B77" s="39">
        <v>1.3804099999999999</v>
      </c>
      <c r="E77" s="2">
        <f t="shared" si="3"/>
        <v>1.3785088687514213</v>
      </c>
      <c r="F77">
        <f t="shared" si="2"/>
        <v>1.9011312485786025E-3</v>
      </c>
      <c r="H77" s="1"/>
    </row>
    <row r="78" spans="1:8" x14ac:dyDescent="0.25">
      <c r="A78" s="39">
        <v>1.3311999999999999E-2</v>
      </c>
      <c r="B78" s="39">
        <v>1.3788400000000001</v>
      </c>
      <c r="E78" s="2">
        <f t="shared" si="3"/>
        <v>1.3772082279661528</v>
      </c>
      <c r="F78">
        <f t="shared" si="2"/>
        <v>1.6317720338472341E-3</v>
      </c>
      <c r="H78" s="1"/>
    </row>
    <row r="79" spans="1:8" x14ac:dyDescent="0.25">
      <c r="A79" s="39">
        <v>1.4336E-2</v>
      </c>
      <c r="B79" s="39">
        <v>1.3759699999999999</v>
      </c>
      <c r="E79" s="2">
        <f t="shared" si="3"/>
        <v>1.3759603012559158</v>
      </c>
      <c r="F79">
        <f t="shared" si="2"/>
        <v>9.698744084074562E-6</v>
      </c>
      <c r="H79" s="1"/>
    </row>
    <row r="80" spans="1:8" x14ac:dyDescent="0.25">
      <c r="A80" s="39">
        <v>1.536E-2</v>
      </c>
      <c r="B80" s="39">
        <v>1.37473</v>
      </c>
      <c r="E80" s="2">
        <f t="shared" si="3"/>
        <v>1.3747538998418802</v>
      </c>
      <c r="F80">
        <f t="shared" si="2"/>
        <v>-2.3899841880226091E-5</v>
      </c>
      <c r="H80" s="1"/>
    </row>
    <row r="81" spans="1:8" x14ac:dyDescent="0.25">
      <c r="A81" s="39">
        <v>1.6383999999999999E-2</v>
      </c>
      <c r="B81" s="39">
        <v>1.3734500000000001</v>
      </c>
      <c r="E81" s="2">
        <f t="shared" si="3"/>
        <v>1.3735807202561454</v>
      </c>
      <c r="F81">
        <f t="shared" si="2"/>
        <v>-1.3072025614535576E-4</v>
      </c>
      <c r="H81" s="1"/>
    </row>
    <row r="82" spans="1:8" x14ac:dyDescent="0.25">
      <c r="A82" s="39">
        <v>1.8432E-2</v>
      </c>
      <c r="B82" s="39">
        <v>1.3710599999999999</v>
      </c>
      <c r="E82" s="2">
        <f t="shared" si="3"/>
        <v>1.3713109173509705</v>
      </c>
      <c r="F82">
        <f t="shared" si="2"/>
        <v>-2.5091735097060308E-4</v>
      </c>
      <c r="H82" s="1"/>
    </row>
    <row r="83" spans="1:8" x14ac:dyDescent="0.25">
      <c r="A83" s="39">
        <v>2.0480000000000002E-2</v>
      </c>
      <c r="B83" s="39">
        <v>1.3684499999999999</v>
      </c>
      <c r="E83" s="2">
        <f t="shared" si="3"/>
        <v>1.3691180742328906</v>
      </c>
      <c r="F83">
        <f t="shared" si="2"/>
        <v>-6.6807423289061418E-4</v>
      </c>
      <c r="H83" s="1"/>
    </row>
    <row r="84" spans="1:8" x14ac:dyDescent="0.25">
      <c r="A84" s="39">
        <v>2.2527999999999999E-2</v>
      </c>
      <c r="B84" s="39">
        <v>1.3655299999999999</v>
      </c>
      <c r="E84" s="2">
        <f t="shared" si="3"/>
        <v>1.366983794690062</v>
      </c>
      <c r="F84">
        <f t="shared" si="2"/>
        <v>-1.4537946900621268E-3</v>
      </c>
      <c r="H84" s="1"/>
    </row>
    <row r="85" spans="1:8" x14ac:dyDescent="0.25">
      <c r="A85" s="39">
        <v>2.4576000000000001E-2</v>
      </c>
      <c r="B85" s="39">
        <v>1.3645799999999999</v>
      </c>
      <c r="E85" s="2">
        <f t="shared" si="3"/>
        <v>1.364897572542922</v>
      </c>
      <c r="F85">
        <f t="shared" si="2"/>
        <v>-3.1757254292208437E-4</v>
      </c>
      <c r="H85" s="1"/>
    </row>
    <row r="86" spans="1:8" x14ac:dyDescent="0.25">
      <c r="A86" s="39">
        <v>2.6623999999999998E-2</v>
      </c>
      <c r="B86" s="39">
        <v>1.3621700000000001</v>
      </c>
      <c r="E86" s="2">
        <f t="shared" si="3"/>
        <v>1.362853225819963</v>
      </c>
      <c r="F86">
        <f t="shared" si="2"/>
        <v>-6.8322581996294041E-4</v>
      </c>
      <c r="H86" s="1"/>
    </row>
    <row r="87" spans="1:8" x14ac:dyDescent="0.25">
      <c r="A87" s="39">
        <v>2.8672E-2</v>
      </c>
      <c r="B87" s="39">
        <v>1.35937</v>
      </c>
      <c r="E87" s="2">
        <f t="shared" si="3"/>
        <v>1.360846949689472</v>
      </c>
      <c r="F87">
        <f t="shared" si="2"/>
        <v>-1.4769496894719847E-3</v>
      </c>
      <c r="H87" s="1"/>
    </row>
    <row r="88" spans="1:8" x14ac:dyDescent="0.25">
      <c r="A88" s="39">
        <v>3.0720000000000001E-2</v>
      </c>
      <c r="B88" s="39">
        <v>1.3578399999999999</v>
      </c>
      <c r="E88" s="2">
        <f t="shared" si="3"/>
        <v>1.3588762528835119</v>
      </c>
      <c r="F88">
        <f t="shared" si="2"/>
        <v>-1.0362528835119456E-3</v>
      </c>
      <c r="H88" s="1"/>
    </row>
    <row r="89" spans="1:8" x14ac:dyDescent="0.25">
      <c r="A89" s="39">
        <v>3.2767999999999999E-2</v>
      </c>
      <c r="B89" s="39">
        <v>1.3563000000000001</v>
      </c>
      <c r="E89" s="2">
        <f t="shared" si="3"/>
        <v>1.3569393763759159</v>
      </c>
      <c r="F89">
        <f t="shared" si="2"/>
        <v>-6.393763759158233E-4</v>
      </c>
      <c r="H89" s="1"/>
    </row>
    <row r="90" spans="1:8" x14ac:dyDescent="0.25">
      <c r="A90" s="39">
        <v>3.6864000000000001E-2</v>
      </c>
      <c r="B90" s="39">
        <v>1.35246</v>
      </c>
      <c r="E90" s="2">
        <f t="shared" si="3"/>
        <v>1.3531619448392662</v>
      </c>
      <c r="F90">
        <f t="shared" si="2"/>
        <v>-7.0194483926622198E-4</v>
      </c>
      <c r="H90" s="1"/>
    </row>
    <row r="91" spans="1:8" x14ac:dyDescent="0.25">
      <c r="A91" s="39">
        <v>4.0960000000000003E-2</v>
      </c>
      <c r="B91" s="39">
        <v>1.3505499999999999</v>
      </c>
      <c r="E91" s="2">
        <f t="shared" si="3"/>
        <v>1.3495062435553487</v>
      </c>
      <c r="F91">
        <f t="shared" si="2"/>
        <v>1.043756444651267E-3</v>
      </c>
      <c r="H91" s="1"/>
    </row>
    <row r="92" spans="1:8" x14ac:dyDescent="0.25">
      <c r="A92" s="39">
        <v>4.5055999999999999E-2</v>
      </c>
      <c r="B92" s="39">
        <v>1.3467199999999999</v>
      </c>
      <c r="E92" s="2">
        <f t="shared" si="3"/>
        <v>1.3459655175547569</v>
      </c>
      <c r="F92">
        <f t="shared" si="2"/>
        <v>7.5448244524300989E-4</v>
      </c>
      <c r="H92" s="1"/>
    </row>
    <row r="93" spans="1:8" x14ac:dyDescent="0.25">
      <c r="A93" s="39">
        <v>4.9152000000000001E-2</v>
      </c>
      <c r="B93" s="39">
        <v>1.3421700000000001</v>
      </c>
      <c r="E93" s="2">
        <f t="shared" si="3"/>
        <v>1.342533794769641</v>
      </c>
      <c r="F93">
        <f t="shared" si="2"/>
        <v>-3.6379476964087942E-4</v>
      </c>
      <c r="H93" s="1"/>
    </row>
    <row r="94" spans="1:8" x14ac:dyDescent="0.25">
      <c r="A94" s="39">
        <v>5.3247999999999997E-2</v>
      </c>
      <c r="B94" s="39">
        <v>1.3385800000000001</v>
      </c>
      <c r="E94" s="2">
        <f t="shared" si="3"/>
        <v>1.3392056012685241</v>
      </c>
      <c r="F94">
        <f t="shared" si="2"/>
        <v>-6.2560126852395648E-4</v>
      </c>
      <c r="H94" s="1"/>
    </row>
    <row r="95" spans="1:8" x14ac:dyDescent="0.25">
      <c r="A95" s="39">
        <v>5.7343999999999999E-2</v>
      </c>
      <c r="B95" s="39">
        <v>1.3355300000000001</v>
      </c>
      <c r="E95" s="2">
        <f t="shared" si="3"/>
        <v>1.3359758545113141</v>
      </c>
      <c r="F95">
        <f t="shared" si="2"/>
        <v>-4.4585451131395892E-4</v>
      </c>
      <c r="H95" s="1"/>
    </row>
    <row r="96" spans="1:8" x14ac:dyDescent="0.25">
      <c r="A96" s="39">
        <v>6.1440000000000002E-2</v>
      </c>
      <c r="B96" s="39">
        <v>1.3323100000000001</v>
      </c>
      <c r="E96" s="2">
        <f t="shared" si="3"/>
        <v>1.332839811829668</v>
      </c>
      <c r="F96">
        <f t="shared" si="2"/>
        <v>-5.2981182966793661E-4</v>
      </c>
      <c r="H96" s="1"/>
    </row>
    <row r="97" spans="1:8" x14ac:dyDescent="0.25">
      <c r="A97" s="39">
        <v>6.5535999999999997E-2</v>
      </c>
      <c r="B97" s="39">
        <v>1.32945</v>
      </c>
      <c r="E97" s="2">
        <f t="shared" si="3"/>
        <v>1.329793037267937</v>
      </c>
      <c r="F97">
        <f t="shared" si="2"/>
        <v>-3.4303726793694089E-4</v>
      </c>
      <c r="H97" s="1"/>
    </row>
    <row r="98" spans="1:8" x14ac:dyDescent="0.25">
      <c r="A98" s="39">
        <v>7.3728000000000002E-2</v>
      </c>
      <c r="B98" s="39">
        <v>1.3243400000000001</v>
      </c>
      <c r="E98" s="2">
        <f t="shared" si="3"/>
        <v>1.3239509298478795</v>
      </c>
      <c r="F98">
        <f t="shared" si="2"/>
        <v>3.8907015212052976E-4</v>
      </c>
      <c r="H98" s="1"/>
    </row>
    <row r="99" spans="1:8" x14ac:dyDescent="0.25">
      <c r="A99" s="39">
        <v>8.1920000000000007E-2</v>
      </c>
      <c r="B99" s="39">
        <v>1.31755</v>
      </c>
      <c r="E99" s="2">
        <f t="shared" si="3"/>
        <v>1.3184192724407218</v>
      </c>
      <c r="F99">
        <f t="shared" si="2"/>
        <v>-8.692724407217689E-4</v>
      </c>
      <c r="H99" s="1"/>
    </row>
    <row r="100" spans="1:8" x14ac:dyDescent="0.25">
      <c r="A100" s="39">
        <v>9.0111999999999998E-2</v>
      </c>
      <c r="B100" s="39">
        <v>1.31352</v>
      </c>
      <c r="E100" s="2">
        <f t="shared" si="3"/>
        <v>1.3131713438091157</v>
      </c>
      <c r="F100">
        <f t="shared" si="2"/>
        <v>3.486561908843111E-4</v>
      </c>
      <c r="H100" s="1"/>
    </row>
    <row r="101" spans="1:8" x14ac:dyDescent="0.25">
      <c r="A101" s="39">
        <v>9.8304000000000002E-2</v>
      </c>
      <c r="B101" s="39">
        <v>1.30901</v>
      </c>
      <c r="E101" s="2">
        <f t="shared" si="3"/>
        <v>1.3081834569544855</v>
      </c>
      <c r="F101">
        <f t="shared" si="2"/>
        <v>8.2654304551454949E-4</v>
      </c>
      <c r="H101" s="1"/>
    </row>
    <row r="102" spans="1:8" x14ac:dyDescent="0.25">
      <c r="A102" s="39">
        <v>0.10649599999999999</v>
      </c>
      <c r="B102" s="39">
        <v>1.3036300000000001</v>
      </c>
      <c r="E102" s="2">
        <f t="shared" si="3"/>
        <v>1.3034345390789424</v>
      </c>
      <c r="F102">
        <f t="shared" si="2"/>
        <v>1.9546092105771073E-4</v>
      </c>
      <c r="H102" s="1"/>
    </row>
    <row r="103" spans="1:8" x14ac:dyDescent="0.25">
      <c r="A103" s="39">
        <v>0.114688</v>
      </c>
      <c r="B103" s="39">
        <v>1.2985500000000001</v>
      </c>
      <c r="E103" s="2">
        <f t="shared" si="3"/>
        <v>1.2989057795117764</v>
      </c>
      <c r="F103">
        <f t="shared" si="2"/>
        <v>-3.5577951177634404E-4</v>
      </c>
      <c r="H103" s="1"/>
    </row>
    <row r="104" spans="1:8" x14ac:dyDescent="0.25">
      <c r="A104" s="39">
        <v>0.12288</v>
      </c>
      <c r="B104" s="39">
        <v>1.2945899999999999</v>
      </c>
      <c r="E104" s="2">
        <f t="shared" si="3"/>
        <v>1.2945803330758712</v>
      </c>
      <c r="F104">
        <f t="shared" si="2"/>
        <v>9.6669241287372643E-6</v>
      </c>
      <c r="H104" s="1"/>
    </row>
    <row r="105" spans="1:8" x14ac:dyDescent="0.25">
      <c r="A105" s="39">
        <v>0.13107199999999999</v>
      </c>
      <c r="B105" s="39">
        <v>1.29054</v>
      </c>
      <c r="E105" s="2">
        <f t="shared" si="3"/>
        <v>1.2904430689658732</v>
      </c>
      <c r="F105">
        <f t="shared" si="2"/>
        <v>9.6931034126779281E-5</v>
      </c>
      <c r="H105" s="1"/>
    </row>
    <row r="106" spans="1:8" x14ac:dyDescent="0.25">
      <c r="A106" s="39">
        <v>0.147456</v>
      </c>
      <c r="B106" s="39">
        <v>1.28335</v>
      </c>
      <c r="E106" s="2">
        <f t="shared" si="3"/>
        <v>1.2826798862027999</v>
      </c>
      <c r="F106">
        <f t="shared" si="2"/>
        <v>6.7011379720005593E-4</v>
      </c>
      <c r="H106" s="1"/>
    </row>
    <row r="107" spans="1:8" x14ac:dyDescent="0.25">
      <c r="A107" s="39">
        <v>0.16384000000000001</v>
      </c>
      <c r="B107" s="39">
        <v>1.2755099999999999</v>
      </c>
      <c r="E107" s="2">
        <f t="shared" si="3"/>
        <v>1.2755220958780407</v>
      </c>
      <c r="F107">
        <f t="shared" si="2"/>
        <v>-1.2095878040740971E-5</v>
      </c>
      <c r="H107" s="1"/>
    </row>
    <row r="108" spans="1:8" x14ac:dyDescent="0.25">
      <c r="A108" s="39">
        <v>0.180224</v>
      </c>
      <c r="B108" s="39">
        <v>1.26874</v>
      </c>
      <c r="E108" s="2">
        <f t="shared" si="3"/>
        <v>1.2688921481948714</v>
      </c>
      <c r="F108">
        <f t="shared" si="2"/>
        <v>-1.521481948714154E-4</v>
      </c>
      <c r="H108" s="1"/>
    </row>
    <row r="109" spans="1:8" x14ac:dyDescent="0.25">
      <c r="A109" s="39">
        <v>0.196608</v>
      </c>
      <c r="B109" s="39">
        <v>1.26224</v>
      </c>
      <c r="E109" s="2">
        <f t="shared" si="3"/>
        <v>1.2627255624660554</v>
      </c>
      <c r="F109">
        <f t="shared" si="2"/>
        <v>-4.8556246605535591E-4</v>
      </c>
      <c r="H109" s="1"/>
    </row>
    <row r="110" spans="1:8" x14ac:dyDescent="0.25">
      <c r="A110" s="39">
        <v>0.21299199999999999</v>
      </c>
      <c r="B110" s="39">
        <v>1.2564200000000001</v>
      </c>
      <c r="E110" s="2">
        <f t="shared" si="3"/>
        <v>1.2569682698185325</v>
      </c>
      <c r="F110">
        <f t="shared" si="2"/>
        <v>-5.4826981853239865E-4</v>
      </c>
      <c r="H110" s="1"/>
    </row>
    <row r="111" spans="1:8" x14ac:dyDescent="0.25">
      <c r="A111" s="39">
        <v>0.229376</v>
      </c>
      <c r="B111" s="39">
        <v>1.2511300000000001</v>
      </c>
      <c r="E111" s="2">
        <f t="shared" si="3"/>
        <v>1.2515745796810445</v>
      </c>
      <c r="F111">
        <f t="shared" si="2"/>
        <v>-4.4457968104438805E-4</v>
      </c>
      <c r="H111" s="1"/>
    </row>
    <row r="112" spans="1:8" x14ac:dyDescent="0.25">
      <c r="A112" s="39">
        <v>0.24576000000000001</v>
      </c>
      <c r="B112" s="39">
        <v>1.2464500000000001</v>
      </c>
      <c r="E112" s="2">
        <f t="shared" si="3"/>
        <v>1.246505605609888</v>
      </c>
      <c r="F112">
        <f t="shared" si="2"/>
        <v>-5.5605609887932061E-5</v>
      </c>
      <c r="H112" s="1"/>
    </row>
    <row r="113" spans="1:8" x14ac:dyDescent="0.25">
      <c r="A113" s="39">
        <v>0.26214399999999999</v>
      </c>
      <c r="B113" s="39">
        <v>1.24153</v>
      </c>
      <c r="E113" s="2">
        <f t="shared" si="3"/>
        <v>1.241728033757451</v>
      </c>
      <c r="F113">
        <f t="shared" si="2"/>
        <v>-1.9803375745097718E-4</v>
      </c>
      <c r="H113" s="1"/>
    </row>
    <row r="114" spans="1:8" x14ac:dyDescent="0.25">
      <c r="A114" s="39">
        <v>0.29491200000000001</v>
      </c>
      <c r="B114" s="39">
        <v>1.2323500000000001</v>
      </c>
      <c r="E114" s="2">
        <f t="shared" si="3"/>
        <v>1.2329360643664664</v>
      </c>
      <c r="F114">
        <f t="shared" si="2"/>
        <v>-5.8606436646635451E-4</v>
      </c>
      <c r="H114" s="1"/>
    </row>
    <row r="115" spans="1:8" x14ac:dyDescent="0.25">
      <c r="A115" s="39">
        <v>0.32768000000000003</v>
      </c>
      <c r="B115" s="39">
        <v>1.22462</v>
      </c>
      <c r="E115" s="2">
        <f t="shared" si="3"/>
        <v>1.2250112273457987</v>
      </c>
      <c r="F115">
        <f t="shared" si="2"/>
        <v>-3.9122734579866147E-4</v>
      </c>
      <c r="H115" s="1"/>
    </row>
    <row r="116" spans="1:8" x14ac:dyDescent="0.25">
      <c r="A116" s="39">
        <v>0.36044799999999999</v>
      </c>
      <c r="B116" s="39">
        <v>1.21716</v>
      </c>
      <c r="E116" s="2">
        <f t="shared" si="3"/>
        <v>1.2178099636490389</v>
      </c>
      <c r="F116">
        <f t="shared" si="2"/>
        <v>-6.4996364903890935E-4</v>
      </c>
      <c r="H116" s="1"/>
    </row>
    <row r="117" spans="1:8" x14ac:dyDescent="0.25">
      <c r="A117" s="39">
        <v>0.39321600000000001</v>
      </c>
      <c r="B117" s="39">
        <v>1.2109399999999999</v>
      </c>
      <c r="E117" s="2">
        <f t="shared" si="3"/>
        <v>1.2112203167395958</v>
      </c>
      <c r="F117">
        <f t="shared" si="2"/>
        <v>-2.8031673959594272E-4</v>
      </c>
      <c r="H117" s="1"/>
    </row>
    <row r="118" spans="1:8" x14ac:dyDescent="0.25">
      <c r="A118" s="39">
        <v>0.42598399999999997</v>
      </c>
      <c r="B118" s="39">
        <v>1.2044600000000001</v>
      </c>
      <c r="E118" s="2">
        <f t="shared" si="3"/>
        <v>1.2051535695288209</v>
      </c>
      <c r="F118">
        <f t="shared" si="2"/>
        <v>-6.9356952882082545E-4</v>
      </c>
      <c r="H118" s="1"/>
    </row>
    <row r="119" spans="1:8" x14ac:dyDescent="0.25">
      <c r="A119" s="39">
        <v>0.45875199999999999</v>
      </c>
      <c r="B119" s="39">
        <v>1.1995100000000001</v>
      </c>
      <c r="E119" s="2">
        <f t="shared" si="3"/>
        <v>1.1995384140159808</v>
      </c>
      <c r="F119">
        <f t="shared" si="2"/>
        <v>-2.8414015980748886E-5</v>
      </c>
      <c r="H119" s="1"/>
    </row>
    <row r="120" spans="1:8" x14ac:dyDescent="0.25">
      <c r="A120" s="39">
        <v>0.49152000000000001</v>
      </c>
      <c r="B120" s="39">
        <v>1.1939599999999999</v>
      </c>
      <c r="E120" s="2">
        <f t="shared" si="3"/>
        <v>1.1943168007525511</v>
      </c>
      <c r="F120">
        <f t="shared" si="2"/>
        <v>-3.5680075255117849E-4</v>
      </c>
      <c r="H120" s="1"/>
    </row>
    <row r="121" spans="1:8" x14ac:dyDescent="0.25">
      <c r="A121" s="39">
        <v>0.52428799999999998</v>
      </c>
      <c r="B121" s="39">
        <v>1.1891400000000001</v>
      </c>
      <c r="E121" s="2">
        <f t="shared" si="3"/>
        <v>1.1894409285336147</v>
      </c>
      <c r="F121">
        <f t="shared" si="2"/>
        <v>-3.0092853361463057E-4</v>
      </c>
      <c r="H121" s="1"/>
    </row>
    <row r="122" spans="1:8" x14ac:dyDescent="0.25">
      <c r="A122" s="39">
        <v>0.58982400000000001</v>
      </c>
      <c r="B122" s="39">
        <v>1.1803399999999999</v>
      </c>
      <c r="E122" s="2">
        <f t="shared" si="3"/>
        <v>1.1805736802789899</v>
      </c>
      <c r="F122">
        <f t="shared" si="2"/>
        <v>-2.3368027898995614E-4</v>
      </c>
      <c r="H122" s="1"/>
    </row>
    <row r="123" spans="1:8" x14ac:dyDescent="0.25">
      <c r="A123" s="39">
        <v>0.65536000000000005</v>
      </c>
      <c r="B123" s="39">
        <v>1.17269</v>
      </c>
      <c r="E123" s="2">
        <f t="shared" si="3"/>
        <v>1.1726875918519502</v>
      </c>
      <c r="F123">
        <f t="shared" si="2"/>
        <v>2.4081480498594487E-6</v>
      </c>
      <c r="H123" s="1"/>
    </row>
    <row r="124" spans="1:8" x14ac:dyDescent="0.25">
      <c r="A124" s="39">
        <v>0.72089599999999998</v>
      </c>
      <c r="B124" s="39">
        <v>1.1660999999999999</v>
      </c>
      <c r="E124" s="2">
        <f t="shared" si="3"/>
        <v>1.1656014711668659</v>
      </c>
      <c r="F124">
        <f t="shared" si="2"/>
        <v>4.9852883313405982E-4</v>
      </c>
      <c r="H124" s="1"/>
    </row>
    <row r="125" spans="1:8" x14ac:dyDescent="0.25">
      <c r="A125" s="39">
        <v>0.78643200000000002</v>
      </c>
      <c r="B125" s="39">
        <v>1.1596200000000001</v>
      </c>
      <c r="E125" s="2">
        <f t="shared" si="3"/>
        <v>1.1591796990274532</v>
      </c>
      <c r="F125">
        <f t="shared" si="2"/>
        <v>4.4030097254688094E-4</v>
      </c>
      <c r="H125" s="1"/>
    </row>
    <row r="126" spans="1:8" x14ac:dyDescent="0.25">
      <c r="A126" s="39">
        <v>0.85196799999999995</v>
      </c>
      <c r="B126" s="39">
        <v>1.1536900000000001</v>
      </c>
      <c r="E126" s="2">
        <f t="shared" si="3"/>
        <v>1.1533182709035525</v>
      </c>
      <c r="F126">
        <f t="shared" si="2"/>
        <v>3.7172909644755947E-4</v>
      </c>
      <c r="H126" s="1"/>
    </row>
    <row r="127" spans="1:8" x14ac:dyDescent="0.25">
      <c r="A127" s="39">
        <v>0.91750399999999999</v>
      </c>
      <c r="B127" s="39">
        <v>1.14863</v>
      </c>
      <c r="E127" s="2">
        <f t="shared" si="3"/>
        <v>1.1479357422573462</v>
      </c>
      <c r="F127">
        <f t="shared" si="2"/>
        <v>6.9425774265385876E-4</v>
      </c>
      <c r="H127" s="1"/>
    </row>
    <row r="128" spans="1:8" x14ac:dyDescent="0.25">
      <c r="A128" s="39">
        <v>0.98304000000000002</v>
      </c>
      <c r="B128" s="39">
        <v>1.14374</v>
      </c>
      <c r="E128" s="2">
        <f t="shared" si="3"/>
        <v>1.142967167714394</v>
      </c>
      <c r="F128">
        <f t="shared" si="2"/>
        <v>7.7283228560598438E-4</v>
      </c>
      <c r="H128" s="1"/>
    </row>
    <row r="129" spans="1:8" x14ac:dyDescent="0.25">
      <c r="A129" s="39">
        <v>1.048576</v>
      </c>
      <c r="B129" s="39">
        <v>1.13913</v>
      </c>
      <c r="E129" s="2">
        <f t="shared" si="3"/>
        <v>1.1383599315394874</v>
      </c>
      <c r="F129">
        <f t="shared" si="2"/>
        <v>7.7006846051252964E-4</v>
      </c>
      <c r="H129" s="1"/>
    </row>
    <row r="130" spans="1:8" x14ac:dyDescent="0.25">
      <c r="A130" s="39">
        <v>1.179648</v>
      </c>
      <c r="B130" s="39">
        <v>1.1306099999999999</v>
      </c>
      <c r="E130" s="2">
        <f t="shared" si="3"/>
        <v>1.1300638510488983</v>
      </c>
      <c r="F130">
        <f t="shared" ref="F130:F193" si="4">B130-E130</f>
        <v>5.4614895110161044E-4</v>
      </c>
      <c r="H130" s="1"/>
    </row>
    <row r="131" spans="1:8" x14ac:dyDescent="0.25">
      <c r="A131" s="39">
        <v>1.3107200000000001</v>
      </c>
      <c r="B131" s="39">
        <v>1.1234500000000001</v>
      </c>
      <c r="E131" s="2">
        <f t="shared" ref="E131:E194" si="5">$D$2+1/$D$3*($D$8/(1+A131/$D$4)/SQRT(1+A131/$D$4/$D$5/$D$5)+(1-$D$8)/(1+A131/$D$6)/SQRT(1+A131/$D$6/$D$7/$D$7))*(1+$D$9*EXP(-A131/$D$10)+$D$11*EXP(-A131/$D$12))</f>
        <v>1.1227800813831257</v>
      </c>
      <c r="F131">
        <f t="shared" si="4"/>
        <v>6.6991861687437648E-4</v>
      </c>
      <c r="H131" s="1"/>
    </row>
    <row r="132" spans="1:8" x14ac:dyDescent="0.25">
      <c r="A132" s="39">
        <v>1.441792</v>
      </c>
      <c r="B132" s="39">
        <v>1.1168199999999999</v>
      </c>
      <c r="E132" s="2">
        <f t="shared" si="5"/>
        <v>1.1163164765448661</v>
      </c>
      <c r="F132">
        <f t="shared" si="4"/>
        <v>5.0352345513382524E-4</v>
      </c>
      <c r="H132" s="1"/>
    </row>
    <row r="133" spans="1:8" x14ac:dyDescent="0.25">
      <c r="A133" s="39">
        <v>1.572864</v>
      </c>
      <c r="B133" s="39">
        <v>1.11111</v>
      </c>
      <c r="E133" s="2">
        <f t="shared" si="5"/>
        <v>1.1105301904209148</v>
      </c>
      <c r="F133">
        <f t="shared" si="4"/>
        <v>5.7980957908521091E-4</v>
      </c>
      <c r="H133" s="1"/>
    </row>
    <row r="134" spans="1:8" x14ac:dyDescent="0.25">
      <c r="A134" s="39">
        <v>1.7039359999999999</v>
      </c>
      <c r="B134" s="39">
        <v>1.1064799999999999</v>
      </c>
      <c r="E134" s="2">
        <f t="shared" si="5"/>
        <v>1.1053120494047659</v>
      </c>
      <c r="F134">
        <f t="shared" si="4"/>
        <v>1.1679505952340019E-3</v>
      </c>
      <c r="H134" s="1"/>
    </row>
    <row r="135" spans="1:8" x14ac:dyDescent="0.25">
      <c r="A135" s="39">
        <v>1.835008</v>
      </c>
      <c r="B135" s="39">
        <v>1.10164</v>
      </c>
      <c r="E135" s="2">
        <f t="shared" si="5"/>
        <v>1.1005766913394426</v>
      </c>
      <c r="F135">
        <f t="shared" si="4"/>
        <v>1.0633086605573716E-3</v>
      </c>
      <c r="H135" s="1"/>
    </row>
    <row r="136" spans="1:8" x14ac:dyDescent="0.25">
      <c r="A136" s="39">
        <v>1.96608</v>
      </c>
      <c r="B136" s="39">
        <v>1.09751</v>
      </c>
      <c r="E136" s="2">
        <f t="shared" si="5"/>
        <v>1.0962560890858004</v>
      </c>
      <c r="F136">
        <f t="shared" si="4"/>
        <v>1.2539109141995741E-3</v>
      </c>
      <c r="H136" s="1"/>
    </row>
    <row r="137" spans="1:8" x14ac:dyDescent="0.25">
      <c r="A137" s="39">
        <v>2.0971519999999999</v>
      </c>
      <c r="B137" s="39">
        <v>1.0934699999999999</v>
      </c>
      <c r="E137" s="2">
        <f t="shared" si="5"/>
        <v>1.0922951499750368</v>
      </c>
      <c r="F137">
        <f t="shared" si="4"/>
        <v>1.1748500249630922E-3</v>
      </c>
      <c r="H137" s="1"/>
    </row>
    <row r="138" spans="1:8" x14ac:dyDescent="0.25">
      <c r="A138" s="39">
        <v>2.3592960000000001</v>
      </c>
      <c r="B138" s="39">
        <v>1.08565</v>
      </c>
      <c r="E138" s="2">
        <f t="shared" si="5"/>
        <v>1.0852789622198258</v>
      </c>
      <c r="F138">
        <f t="shared" si="4"/>
        <v>3.7103778017422151E-4</v>
      </c>
      <c r="H138" s="1"/>
    </row>
    <row r="139" spans="1:8" x14ac:dyDescent="0.25">
      <c r="A139" s="39">
        <v>2.6214400000000002</v>
      </c>
      <c r="B139" s="39">
        <v>1.07962</v>
      </c>
      <c r="E139" s="2">
        <f t="shared" si="5"/>
        <v>1.0792486982016216</v>
      </c>
      <c r="F139">
        <f t="shared" si="4"/>
        <v>3.7130179837840949E-4</v>
      </c>
      <c r="H139" s="1"/>
    </row>
    <row r="140" spans="1:8" x14ac:dyDescent="0.25">
      <c r="A140" s="39">
        <v>2.8835839999999999</v>
      </c>
      <c r="B140" s="39">
        <v>1.07439</v>
      </c>
      <c r="E140" s="2">
        <f t="shared" si="5"/>
        <v>1.0740043697380621</v>
      </c>
      <c r="F140">
        <f t="shared" si="4"/>
        <v>3.8563026193783045E-4</v>
      </c>
      <c r="H140" s="1"/>
    </row>
    <row r="141" spans="1:8" x14ac:dyDescent="0.25">
      <c r="A141" s="39">
        <v>3.1457280000000001</v>
      </c>
      <c r="B141" s="39">
        <v>1.0696099999999999</v>
      </c>
      <c r="E141" s="2">
        <f t="shared" si="5"/>
        <v>1.0693982341778723</v>
      </c>
      <c r="F141">
        <f t="shared" si="4"/>
        <v>2.1176582212767414E-4</v>
      </c>
      <c r="H141" s="1"/>
    </row>
    <row r="142" spans="1:8" x14ac:dyDescent="0.25">
      <c r="A142" s="39">
        <v>3.4078719999999998</v>
      </c>
      <c r="B142" s="39">
        <v>1.06481</v>
      </c>
      <c r="E142" s="2">
        <f t="shared" si="5"/>
        <v>1.0653183249365221</v>
      </c>
      <c r="F142">
        <f t="shared" si="4"/>
        <v>-5.0832493652208655E-4</v>
      </c>
      <c r="H142" s="1"/>
    </row>
    <row r="143" spans="1:8" x14ac:dyDescent="0.25">
      <c r="A143" s="39">
        <v>3.6700159999999999</v>
      </c>
      <c r="B143" s="39">
        <v>1.06094</v>
      </c>
      <c r="E143" s="2">
        <f t="shared" si="5"/>
        <v>1.0616779840738444</v>
      </c>
      <c r="F143">
        <f t="shared" si="4"/>
        <v>-7.379840738443999E-4</v>
      </c>
      <c r="H143" s="1"/>
    </row>
    <row r="144" spans="1:8" x14ac:dyDescent="0.25">
      <c r="A144" s="39">
        <v>3.9321600000000001</v>
      </c>
      <c r="B144" s="39">
        <v>1.05816</v>
      </c>
      <c r="E144" s="2">
        <f t="shared" si="5"/>
        <v>1.0584089438408415</v>
      </c>
      <c r="F144">
        <f t="shared" si="4"/>
        <v>-2.48943840841509E-4</v>
      </c>
      <c r="H144" s="1"/>
    </row>
    <row r="145" spans="1:8" x14ac:dyDescent="0.25">
      <c r="A145" s="39">
        <v>4.1943039999999998</v>
      </c>
      <c r="B145" s="39">
        <v>1.0545800000000001</v>
      </c>
      <c r="E145" s="2">
        <f t="shared" si="5"/>
        <v>1.0554566035333237</v>
      </c>
      <c r="F145">
        <f t="shared" si="4"/>
        <v>-8.7660353332363883E-4</v>
      </c>
      <c r="H145" s="1"/>
    </row>
    <row r="146" spans="1:8" x14ac:dyDescent="0.25">
      <c r="A146" s="39">
        <v>4.7185920000000001</v>
      </c>
      <c r="B146" s="39">
        <v>1.0489200000000001</v>
      </c>
      <c r="E146" s="2">
        <f t="shared" si="5"/>
        <v>1.0503330096934902</v>
      </c>
      <c r="F146">
        <f t="shared" si="4"/>
        <v>-1.4130096934901193E-3</v>
      </c>
      <c r="H146" s="1"/>
    </row>
    <row r="147" spans="1:8" x14ac:dyDescent="0.25">
      <c r="A147" s="39">
        <v>5.2428800000000004</v>
      </c>
      <c r="B147" s="39">
        <v>1.0450200000000001</v>
      </c>
      <c r="E147" s="2">
        <f t="shared" si="5"/>
        <v>1.0460389142534294</v>
      </c>
      <c r="F147">
        <f t="shared" si="4"/>
        <v>-1.0189142534293705E-3</v>
      </c>
      <c r="H147" s="1"/>
    </row>
    <row r="148" spans="1:8" x14ac:dyDescent="0.25">
      <c r="A148" s="39">
        <v>5.7671679999999999</v>
      </c>
      <c r="B148" s="39">
        <v>1.0419099999999999</v>
      </c>
      <c r="E148" s="2">
        <f t="shared" si="5"/>
        <v>1.0423875314408795</v>
      </c>
      <c r="F148">
        <f t="shared" si="4"/>
        <v>-4.775314408795861E-4</v>
      </c>
      <c r="H148" s="1"/>
    </row>
    <row r="149" spans="1:8" x14ac:dyDescent="0.25">
      <c r="A149" s="39">
        <v>6.2914560000000002</v>
      </c>
      <c r="B149" s="39">
        <v>1.0387299999999999</v>
      </c>
      <c r="E149" s="2">
        <f t="shared" si="5"/>
        <v>1.0392445691794772</v>
      </c>
      <c r="F149">
        <f t="shared" si="4"/>
        <v>-5.1456917947723113E-4</v>
      </c>
      <c r="H149" s="1"/>
    </row>
    <row r="150" spans="1:8" x14ac:dyDescent="0.25">
      <c r="A150" s="39">
        <v>6.8157439999999996</v>
      </c>
      <c r="B150" s="39">
        <v>1.03634</v>
      </c>
      <c r="E150" s="2">
        <f t="shared" si="5"/>
        <v>1.0365108803097562</v>
      </c>
      <c r="F150">
        <f t="shared" si="4"/>
        <v>-1.7088030975620505E-4</v>
      </c>
      <c r="H150" s="1"/>
    </row>
    <row r="151" spans="1:8" x14ac:dyDescent="0.25">
      <c r="A151" s="39">
        <v>7.3400319999999999</v>
      </c>
      <c r="B151" s="39">
        <v>1.0343</v>
      </c>
      <c r="E151" s="2">
        <f t="shared" si="5"/>
        <v>1.0341116111343551</v>
      </c>
      <c r="F151">
        <f t="shared" si="4"/>
        <v>1.8838886564487289E-4</v>
      </c>
      <c r="H151" s="1"/>
    </row>
    <row r="152" spans="1:8" x14ac:dyDescent="0.25">
      <c r="A152" s="39">
        <v>7.8643200000000002</v>
      </c>
      <c r="B152" s="39">
        <v>1.03268</v>
      </c>
      <c r="E152" s="2">
        <f t="shared" si="5"/>
        <v>1.0319891581790428</v>
      </c>
      <c r="F152">
        <f t="shared" si="4"/>
        <v>6.9084182095724422E-4</v>
      </c>
      <c r="H152" s="1"/>
    </row>
    <row r="153" spans="1:8" x14ac:dyDescent="0.25">
      <c r="A153" s="39">
        <v>8.3886079999999996</v>
      </c>
      <c r="B153" s="39">
        <v>1.0305899999999999</v>
      </c>
      <c r="E153" s="2">
        <f t="shared" si="5"/>
        <v>1.0300984520926908</v>
      </c>
      <c r="F153">
        <f t="shared" si="4"/>
        <v>4.9154790730909781E-4</v>
      </c>
      <c r="H153" s="1"/>
    </row>
    <row r="154" spans="1:8" x14ac:dyDescent="0.25">
      <c r="A154" s="39">
        <v>9.4371840000000002</v>
      </c>
      <c r="B154" s="39">
        <v>1.0265899999999999</v>
      </c>
      <c r="E154" s="2">
        <f t="shared" si="5"/>
        <v>1.0268761753846183</v>
      </c>
      <c r="F154">
        <f t="shared" si="4"/>
        <v>-2.8617538461839231E-4</v>
      </c>
      <c r="H154" s="1"/>
    </row>
    <row r="155" spans="1:8" x14ac:dyDescent="0.25">
      <c r="A155" s="39">
        <v>10.485760000000001</v>
      </c>
      <c r="B155" s="39">
        <v>1.0240499999999999</v>
      </c>
      <c r="E155" s="2">
        <f t="shared" si="5"/>
        <v>1.0242332607762632</v>
      </c>
      <c r="F155">
        <f t="shared" si="4"/>
        <v>-1.8326077626329429E-4</v>
      </c>
      <c r="H155" s="1"/>
    </row>
    <row r="156" spans="1:8" x14ac:dyDescent="0.25">
      <c r="A156" s="39">
        <v>11.534336</v>
      </c>
      <c r="B156" s="39">
        <v>1.02183</v>
      </c>
      <c r="E156" s="2">
        <f t="shared" si="5"/>
        <v>1.0220274259404072</v>
      </c>
      <c r="F156">
        <f t="shared" si="4"/>
        <v>-1.9742594040716988E-4</v>
      </c>
      <c r="H156" s="1"/>
    </row>
    <row r="157" spans="1:8" x14ac:dyDescent="0.25">
      <c r="A157" s="39">
        <v>12.582912</v>
      </c>
      <c r="B157" s="39">
        <v>1.01912</v>
      </c>
      <c r="E157" s="2">
        <f t="shared" si="5"/>
        <v>1.0201594148061086</v>
      </c>
      <c r="F157">
        <f t="shared" si="4"/>
        <v>-1.0394148061085851E-3</v>
      </c>
      <c r="H157" s="1"/>
    </row>
    <row r="158" spans="1:8" x14ac:dyDescent="0.25">
      <c r="A158" s="39">
        <v>13.631487999999999</v>
      </c>
      <c r="B158" s="39">
        <v>1.0164800000000001</v>
      </c>
      <c r="E158" s="2">
        <f t="shared" si="5"/>
        <v>1.0185578693127102</v>
      </c>
      <c r="F158">
        <f t="shared" si="4"/>
        <v>-2.0778693127101455E-3</v>
      </c>
      <c r="H158" s="1"/>
    </row>
    <row r="159" spans="1:8" x14ac:dyDescent="0.25">
      <c r="A159" s="39">
        <v>14.680064</v>
      </c>
      <c r="B159" s="39">
        <v>1.0147900000000001</v>
      </c>
      <c r="E159" s="2">
        <f t="shared" si="5"/>
        <v>1.0171701701173725</v>
      </c>
      <c r="F159">
        <f t="shared" si="4"/>
        <v>-2.3801701173724599E-3</v>
      </c>
      <c r="H159" s="1"/>
    </row>
    <row r="160" spans="1:8" x14ac:dyDescent="0.25">
      <c r="A160" s="39">
        <v>15.72864</v>
      </c>
      <c r="B160" s="39">
        <v>1.0138</v>
      </c>
      <c r="E160" s="2">
        <f t="shared" si="5"/>
        <v>1.0159566655415213</v>
      </c>
      <c r="F160">
        <f t="shared" si="4"/>
        <v>-2.1566655415212743E-3</v>
      </c>
      <c r="H160" s="1"/>
    </row>
    <row r="161" spans="1:8" x14ac:dyDescent="0.25">
      <c r="A161" s="39">
        <v>16.777215999999999</v>
      </c>
      <c r="B161" s="39">
        <v>1.01247</v>
      </c>
      <c r="E161" s="2">
        <f t="shared" si="5"/>
        <v>1.0148869103137852</v>
      </c>
      <c r="F161">
        <f t="shared" si="4"/>
        <v>-2.4169103137852144E-3</v>
      </c>
      <c r="H161" s="1"/>
    </row>
    <row r="162" spans="1:8" x14ac:dyDescent="0.25">
      <c r="A162" s="39">
        <v>18.874368</v>
      </c>
      <c r="B162" s="39">
        <v>1.01146</v>
      </c>
      <c r="E162" s="2">
        <f t="shared" si="5"/>
        <v>1.013088543744737</v>
      </c>
      <c r="F162">
        <f t="shared" si="4"/>
        <v>-1.6285437447369766E-3</v>
      </c>
      <c r="H162" s="1"/>
    </row>
    <row r="163" spans="1:8" x14ac:dyDescent="0.25">
      <c r="A163" s="39">
        <v>20.971520000000002</v>
      </c>
      <c r="B163" s="39">
        <v>1.0115799999999999</v>
      </c>
      <c r="E163" s="2">
        <f t="shared" si="5"/>
        <v>1.0116373361466531</v>
      </c>
      <c r="F163">
        <f t="shared" si="4"/>
        <v>-5.7336146653153008E-5</v>
      </c>
      <c r="H163" s="1"/>
    </row>
    <row r="164" spans="1:8" x14ac:dyDescent="0.25">
      <c r="A164" s="39">
        <v>23.068671999999999</v>
      </c>
      <c r="B164" s="39">
        <v>1.01051</v>
      </c>
      <c r="E164" s="2">
        <f t="shared" si="5"/>
        <v>1.0104430395438193</v>
      </c>
      <c r="F164">
        <f t="shared" si="4"/>
        <v>6.6960456180709116E-5</v>
      </c>
      <c r="H164" s="1"/>
    </row>
    <row r="165" spans="1:8" x14ac:dyDescent="0.25">
      <c r="A165" s="39">
        <v>25.165824000000001</v>
      </c>
      <c r="B165" s="39">
        <v>1.0085999999999999</v>
      </c>
      <c r="E165" s="2">
        <f t="shared" si="5"/>
        <v>1.0094440727671938</v>
      </c>
      <c r="F165">
        <f t="shared" si="4"/>
        <v>-8.4407276719389301E-4</v>
      </c>
      <c r="H165" s="1"/>
    </row>
    <row r="166" spans="1:8" x14ac:dyDescent="0.25">
      <c r="A166" s="39">
        <v>27.262975999999998</v>
      </c>
      <c r="B166" s="39">
        <v>1.0078499999999999</v>
      </c>
      <c r="E166" s="2">
        <f t="shared" si="5"/>
        <v>1.0085969913752348</v>
      </c>
      <c r="F166">
        <f t="shared" si="4"/>
        <v>-7.4699137523492887E-4</v>
      </c>
      <c r="H166" s="1"/>
    </row>
    <row r="167" spans="1:8" x14ac:dyDescent="0.25">
      <c r="A167" s="39">
        <v>29.360128</v>
      </c>
      <c r="B167" s="39">
        <v>1.0077</v>
      </c>
      <c r="E167" s="2">
        <f t="shared" si="5"/>
        <v>1.0078702790702347</v>
      </c>
      <c r="F167">
        <f t="shared" si="4"/>
        <v>-1.7027907023470235E-4</v>
      </c>
      <c r="H167" s="1"/>
    </row>
    <row r="168" spans="1:8" x14ac:dyDescent="0.25">
      <c r="A168" s="39">
        <v>31.457280000000001</v>
      </c>
      <c r="B168" s="39">
        <v>1.00709</v>
      </c>
      <c r="E168" s="2">
        <f t="shared" si="5"/>
        <v>1.007240524417633</v>
      </c>
      <c r="F168">
        <f t="shared" si="4"/>
        <v>-1.5052441763296898E-4</v>
      </c>
      <c r="H168" s="1"/>
    </row>
    <row r="169" spans="1:8" x14ac:dyDescent="0.25">
      <c r="A169" s="39">
        <v>33.554431999999998</v>
      </c>
      <c r="B169" s="39">
        <v>1.0066900000000001</v>
      </c>
      <c r="E169" s="2">
        <f t="shared" si="5"/>
        <v>1.0066899783747778</v>
      </c>
      <c r="F169">
        <f t="shared" si="4"/>
        <v>2.1625222279553213E-8</v>
      </c>
      <c r="H169" s="1"/>
    </row>
    <row r="170" spans="1:8" x14ac:dyDescent="0.25">
      <c r="A170" s="39">
        <v>37.748736000000001</v>
      </c>
      <c r="B170" s="39">
        <v>1.0048699999999999</v>
      </c>
      <c r="E170" s="2">
        <f t="shared" si="5"/>
        <v>1.0057746859505323</v>
      </c>
      <c r="F170">
        <f t="shared" si="4"/>
        <v>-9.046859505323912E-4</v>
      </c>
      <c r="H170" s="1"/>
    </row>
    <row r="171" spans="1:8" x14ac:dyDescent="0.25">
      <c r="A171" s="39">
        <v>41.943040000000003</v>
      </c>
      <c r="B171" s="39">
        <v>1.00423</v>
      </c>
      <c r="E171" s="2">
        <f t="shared" si="5"/>
        <v>1.0050460416354654</v>
      </c>
      <c r="F171">
        <f t="shared" si="4"/>
        <v>-8.1604163546544761E-4</v>
      </c>
      <c r="H171" s="1"/>
    </row>
    <row r="172" spans="1:8" x14ac:dyDescent="0.25">
      <c r="A172" s="39">
        <v>46.137343999999999</v>
      </c>
      <c r="B172" s="39">
        <v>1.0028900000000001</v>
      </c>
      <c r="E172" s="2">
        <f t="shared" si="5"/>
        <v>1.0044535924312583</v>
      </c>
      <c r="F172">
        <f t="shared" si="4"/>
        <v>-1.5635924312582539E-3</v>
      </c>
      <c r="H172" s="1"/>
    </row>
    <row r="173" spans="1:8" x14ac:dyDescent="0.25">
      <c r="A173" s="39">
        <v>50.331648000000001</v>
      </c>
      <c r="B173" s="39">
        <v>1.00248</v>
      </c>
      <c r="E173" s="2">
        <f t="shared" si="5"/>
        <v>1.0039634184815465</v>
      </c>
      <c r="F173">
        <f t="shared" si="4"/>
        <v>-1.483418481546428E-3</v>
      </c>
      <c r="H173" s="1"/>
    </row>
    <row r="174" spans="1:8" x14ac:dyDescent="0.25">
      <c r="A174" s="39">
        <v>54.525951999999997</v>
      </c>
      <c r="B174" s="39">
        <v>1.0039100000000001</v>
      </c>
      <c r="E174" s="2">
        <f t="shared" si="5"/>
        <v>1.0035518957444767</v>
      </c>
      <c r="F174">
        <f t="shared" si="4"/>
        <v>3.5810425552340597E-4</v>
      </c>
      <c r="H174" s="1"/>
    </row>
    <row r="175" spans="1:8" x14ac:dyDescent="0.25">
      <c r="A175" s="39">
        <v>58.720255999999999</v>
      </c>
      <c r="B175" s="39">
        <v>1.00393</v>
      </c>
      <c r="E175" s="2">
        <f t="shared" si="5"/>
        <v>1.0032020800620485</v>
      </c>
      <c r="F175">
        <f t="shared" si="4"/>
        <v>7.2791993795151555E-4</v>
      </c>
      <c r="H175" s="1"/>
    </row>
    <row r="176" spans="1:8" x14ac:dyDescent="0.25">
      <c r="A176" s="39">
        <v>62.914560000000002</v>
      </c>
      <c r="B176" s="39">
        <v>1.0027699999999999</v>
      </c>
      <c r="E176" s="2">
        <f t="shared" si="5"/>
        <v>1.0029015124216314</v>
      </c>
      <c r="F176">
        <f t="shared" si="4"/>
        <v>-1.3151242163145227E-4</v>
      </c>
      <c r="H176" s="1"/>
    </row>
    <row r="177" spans="1:8" x14ac:dyDescent="0.25">
      <c r="A177" s="39">
        <v>67.108863999999997</v>
      </c>
      <c r="B177" s="39">
        <v>1.0024900000000001</v>
      </c>
      <c r="E177" s="2">
        <f t="shared" si="5"/>
        <v>1.0026408343927558</v>
      </c>
      <c r="F177">
        <f t="shared" si="4"/>
        <v>-1.5083439275564992E-4</v>
      </c>
      <c r="H177" s="1"/>
    </row>
    <row r="178" spans="1:8" x14ac:dyDescent="0.25">
      <c r="A178" s="39">
        <v>75.497472000000002</v>
      </c>
      <c r="B178" s="39">
        <v>1.00298</v>
      </c>
      <c r="E178" s="2">
        <f t="shared" si="5"/>
        <v>1.0022120972895168</v>
      </c>
      <c r="F178">
        <f t="shared" si="4"/>
        <v>7.6790271048321479E-4</v>
      </c>
      <c r="H178" s="1"/>
    </row>
    <row r="179" spans="1:8" x14ac:dyDescent="0.25">
      <c r="A179" s="39">
        <v>83.886080000000007</v>
      </c>
      <c r="B179" s="39">
        <v>1.0040800000000001</v>
      </c>
      <c r="E179" s="2">
        <f t="shared" si="5"/>
        <v>1.0018753178360982</v>
      </c>
      <c r="F179">
        <f t="shared" si="4"/>
        <v>2.2046821639019054E-3</v>
      </c>
      <c r="H179" s="1"/>
    </row>
    <row r="180" spans="1:8" x14ac:dyDescent="0.25">
      <c r="A180" s="39">
        <v>92.274687999999998</v>
      </c>
      <c r="B180" s="39">
        <v>1.0026200000000001</v>
      </c>
      <c r="E180" s="2">
        <f t="shared" si="5"/>
        <v>1.0016047560651564</v>
      </c>
      <c r="F180">
        <f t="shared" si="4"/>
        <v>1.0152439348436459E-3</v>
      </c>
      <c r="H180" s="1"/>
    </row>
    <row r="181" spans="1:8" x14ac:dyDescent="0.25">
      <c r="A181" s="39">
        <v>100.663296</v>
      </c>
      <c r="B181" s="39">
        <v>1.0023899999999999</v>
      </c>
      <c r="E181" s="2">
        <f t="shared" si="5"/>
        <v>1.0013833257433011</v>
      </c>
      <c r="F181">
        <f t="shared" si="4"/>
        <v>1.0066742566987585E-3</v>
      </c>
      <c r="H181" s="1"/>
    </row>
    <row r="182" spans="1:8" x14ac:dyDescent="0.25">
      <c r="A182" s="39">
        <v>109.05190399999999</v>
      </c>
      <c r="B182" s="39">
        <v>1.00139</v>
      </c>
      <c r="E182" s="2">
        <f t="shared" si="5"/>
        <v>1.0011992638404585</v>
      </c>
      <c r="F182">
        <f t="shared" si="4"/>
        <v>1.9073615954146028E-4</v>
      </c>
      <c r="H182" s="1"/>
    </row>
    <row r="183" spans="1:8" x14ac:dyDescent="0.25">
      <c r="A183" s="39">
        <v>117.440512</v>
      </c>
      <c r="B183" s="39">
        <v>1.0021800000000001</v>
      </c>
      <c r="E183" s="2">
        <f t="shared" si="5"/>
        <v>1.0010442228272514</v>
      </c>
      <c r="F183">
        <f t="shared" si="4"/>
        <v>1.1357771727487087E-3</v>
      </c>
      <c r="H183" s="1"/>
    </row>
    <row r="184" spans="1:8" x14ac:dyDescent="0.25">
      <c r="A184" s="39">
        <v>125.82912</v>
      </c>
      <c r="B184" s="39">
        <v>1.00203</v>
      </c>
      <c r="E184" s="2">
        <f t="shared" si="5"/>
        <v>1.0009121251965265</v>
      </c>
      <c r="F184">
        <f t="shared" si="4"/>
        <v>1.1178748034734731E-3</v>
      </c>
      <c r="H184" s="1"/>
    </row>
    <row r="185" spans="1:8" x14ac:dyDescent="0.25">
      <c r="A185" s="39">
        <v>134.21772799999999</v>
      </c>
      <c r="B185" s="39">
        <v>1.0015799999999999</v>
      </c>
      <c r="E185" s="2">
        <f t="shared" si="5"/>
        <v>1.0007984479122736</v>
      </c>
      <c r="F185">
        <f t="shared" si="4"/>
        <v>7.8155208772634488E-4</v>
      </c>
      <c r="H185" s="1"/>
    </row>
    <row r="186" spans="1:8" x14ac:dyDescent="0.25">
      <c r="A186" s="39">
        <v>150.994944</v>
      </c>
      <c r="B186" s="39">
        <v>1.0018499999999999</v>
      </c>
      <c r="E186" s="2">
        <f t="shared" si="5"/>
        <v>1.0006134156253148</v>
      </c>
      <c r="F186">
        <f t="shared" si="4"/>
        <v>1.2365843746851013E-3</v>
      </c>
      <c r="H186" s="1"/>
    </row>
    <row r="187" spans="1:8" x14ac:dyDescent="0.25">
      <c r="A187" s="39">
        <v>167.77216000000001</v>
      </c>
      <c r="B187" s="39">
        <v>1.0022200000000001</v>
      </c>
      <c r="E187" s="2">
        <f t="shared" si="5"/>
        <v>1.0004699002970465</v>
      </c>
      <c r="F187">
        <f t="shared" si="4"/>
        <v>1.7500997029535892E-3</v>
      </c>
      <c r="H187" s="1"/>
    </row>
    <row r="188" spans="1:8" x14ac:dyDescent="0.25">
      <c r="A188" s="39">
        <v>184.549376</v>
      </c>
      <c r="B188" s="39">
        <v>1.0012000000000001</v>
      </c>
      <c r="E188" s="2">
        <f t="shared" si="5"/>
        <v>1.0003558797546639</v>
      </c>
      <c r="F188">
        <f t="shared" si="4"/>
        <v>8.4412024533619956E-4</v>
      </c>
      <c r="H188" s="1"/>
    </row>
    <row r="189" spans="1:8" x14ac:dyDescent="0.25">
      <c r="A189" s="39">
        <v>201.32659200000001</v>
      </c>
      <c r="B189" s="39">
        <v>1.0021</v>
      </c>
      <c r="E189" s="2">
        <f t="shared" si="5"/>
        <v>1.000263480604024</v>
      </c>
      <c r="F189">
        <f t="shared" si="4"/>
        <v>1.8365193959759551E-3</v>
      </c>
      <c r="H189" s="1"/>
    </row>
    <row r="190" spans="1:8" x14ac:dyDescent="0.25">
      <c r="A190" s="39">
        <v>218.10380799999999</v>
      </c>
      <c r="B190" s="39">
        <v>1.0020199999999999</v>
      </c>
      <c r="E190" s="2">
        <f t="shared" si="5"/>
        <v>1.0001873483357688</v>
      </c>
      <c r="F190">
        <f t="shared" si="4"/>
        <v>1.8326516642310775E-3</v>
      </c>
      <c r="H190" s="1"/>
    </row>
    <row r="191" spans="1:8" x14ac:dyDescent="0.25">
      <c r="A191" s="39">
        <v>234.881024</v>
      </c>
      <c r="B191" s="39">
        <v>1.0008999999999999</v>
      </c>
      <c r="E191" s="2">
        <f t="shared" si="5"/>
        <v>1.0001237253547244</v>
      </c>
      <c r="F191">
        <f t="shared" si="4"/>
        <v>7.7627464527552092E-4</v>
      </c>
      <c r="H191" s="1"/>
    </row>
    <row r="192" spans="1:8" x14ac:dyDescent="0.25">
      <c r="A192" s="39">
        <v>251.65824000000001</v>
      </c>
      <c r="B192" s="39">
        <v>1.0008300000000001</v>
      </c>
      <c r="E192" s="2">
        <f t="shared" si="5"/>
        <v>1.0000699037480956</v>
      </c>
      <c r="F192">
        <f t="shared" si="4"/>
        <v>7.6009625190454067E-4</v>
      </c>
      <c r="H192" s="1"/>
    </row>
    <row r="193" spans="1:8" x14ac:dyDescent="0.25">
      <c r="A193" s="39">
        <v>268.43545599999999</v>
      </c>
      <c r="B193" s="39">
        <v>1.0012700000000001</v>
      </c>
      <c r="E193" s="2">
        <f t="shared" si="5"/>
        <v>1.0000238870943923</v>
      </c>
      <c r="F193">
        <f t="shared" si="4"/>
        <v>1.2461129056078324E-3</v>
      </c>
      <c r="H193" s="1"/>
    </row>
    <row r="194" spans="1:8" x14ac:dyDescent="0.25">
      <c r="A194" s="39">
        <v>301.98988800000001</v>
      </c>
      <c r="B194" s="39">
        <v>1.0013099999999999</v>
      </c>
      <c r="E194" s="2">
        <f t="shared" si="5"/>
        <v>0.99994961628144852</v>
      </c>
      <c r="F194">
        <f t="shared" ref="F194:F238" si="6">B194-E194</f>
        <v>1.3603837185514056E-3</v>
      </c>
      <c r="H194" s="1"/>
    </row>
    <row r="195" spans="1:8" x14ac:dyDescent="0.25">
      <c r="A195" s="39">
        <v>335.54432000000003</v>
      </c>
      <c r="B195" s="39">
        <v>0.99981100000000001</v>
      </c>
      <c r="E195" s="2">
        <f t="shared" ref="E195:E238" si="7">$D$2+1/$D$3*($D$8/(1+A195/$D$4)/SQRT(1+A195/$D$4/$D$5/$D$5)+(1-$D$8)/(1+A195/$D$6)/SQRT(1+A195/$D$6/$D$7/$D$7))*(1+$D$9*EXP(-A195/$D$10)+$D$11*EXP(-A195/$D$12))</f>
        <v>0.99989258593752839</v>
      </c>
      <c r="F195">
        <f t="shared" si="6"/>
        <v>-8.158593752838339E-5</v>
      </c>
      <c r="H195" s="1"/>
    </row>
    <row r="196" spans="1:8" x14ac:dyDescent="0.25">
      <c r="A196" s="39">
        <v>369.09875199999999</v>
      </c>
      <c r="B196" s="39">
        <v>1.0006600000000001</v>
      </c>
      <c r="E196" s="2">
        <f t="shared" si="7"/>
        <v>0.99984766280469606</v>
      </c>
      <c r="F196">
        <f t="shared" si="6"/>
        <v>8.1233719530404702E-4</v>
      </c>
      <c r="H196" s="1"/>
    </row>
    <row r="197" spans="1:8" x14ac:dyDescent="0.25">
      <c r="A197" s="39">
        <v>402.65318400000001</v>
      </c>
      <c r="B197" s="39">
        <v>1.00115</v>
      </c>
      <c r="E197" s="2">
        <f t="shared" si="7"/>
        <v>0.99981152650141314</v>
      </c>
      <c r="F197">
        <f t="shared" si="6"/>
        <v>1.3384734985868452E-3</v>
      </c>
      <c r="H197" s="1"/>
    </row>
    <row r="198" spans="1:8" x14ac:dyDescent="0.25">
      <c r="A198" s="39">
        <v>436.20761599999997</v>
      </c>
      <c r="B198" s="39">
        <v>1.0001199999999999</v>
      </c>
      <c r="E198" s="2">
        <f t="shared" si="7"/>
        <v>0.99978194333741921</v>
      </c>
      <c r="F198">
        <f t="shared" si="6"/>
        <v>3.3805666258068801E-4</v>
      </c>
      <c r="H198" s="1"/>
    </row>
    <row r="199" spans="1:8" x14ac:dyDescent="0.25">
      <c r="A199" s="39">
        <v>469.76204799999999</v>
      </c>
      <c r="B199" s="39">
        <v>1.00034</v>
      </c>
      <c r="E199" s="2">
        <f t="shared" si="7"/>
        <v>0.99975736079337607</v>
      </c>
      <c r="F199">
        <f t="shared" si="6"/>
        <v>5.8263920662393609E-4</v>
      </c>
      <c r="H199" s="1"/>
    </row>
    <row r="200" spans="1:8" x14ac:dyDescent="0.25">
      <c r="A200" s="39">
        <v>503.31648000000001</v>
      </c>
      <c r="B200" s="39">
        <v>1.0001500000000001</v>
      </c>
      <c r="E200" s="2">
        <f t="shared" si="7"/>
        <v>0.99973666958622498</v>
      </c>
      <c r="F200">
        <f t="shared" si="6"/>
        <v>4.1333041377511481E-4</v>
      </c>
      <c r="H200" s="1"/>
    </row>
    <row r="201" spans="1:8" x14ac:dyDescent="0.25">
      <c r="A201" s="39">
        <v>536.87091199999998</v>
      </c>
      <c r="B201" s="39">
        <v>0.999471</v>
      </c>
      <c r="E201" s="2">
        <f t="shared" si="7"/>
        <v>0.99971905814485129</v>
      </c>
      <c r="F201">
        <f t="shared" si="6"/>
        <v>-2.4805814485129307E-4</v>
      </c>
      <c r="H201" s="1"/>
    </row>
    <row r="202" spans="1:8" x14ac:dyDescent="0.25">
      <c r="A202" s="39">
        <v>603.97977600000002</v>
      </c>
      <c r="B202" s="39">
        <v>0.99986699999999995</v>
      </c>
      <c r="E202" s="2">
        <f t="shared" si="7"/>
        <v>0.99969079553789875</v>
      </c>
      <c r="F202">
        <f t="shared" si="6"/>
        <v>1.7620446210120377E-4</v>
      </c>
      <c r="H202" s="1"/>
    </row>
    <row r="203" spans="1:8" x14ac:dyDescent="0.25">
      <c r="A203" s="39">
        <v>671.08864000000005</v>
      </c>
      <c r="B203" s="39">
        <v>1.00021</v>
      </c>
      <c r="E203" s="2">
        <f t="shared" si="7"/>
        <v>0.99966923766879745</v>
      </c>
      <c r="F203">
        <f t="shared" si="6"/>
        <v>5.4076233120259332E-4</v>
      </c>
      <c r="H203" s="1"/>
    </row>
    <row r="204" spans="1:8" x14ac:dyDescent="0.25">
      <c r="A204" s="39">
        <v>738.19750399999998</v>
      </c>
      <c r="B204" s="39">
        <v>1.0008600000000001</v>
      </c>
      <c r="E204" s="2">
        <f t="shared" si="7"/>
        <v>0.99965235046267764</v>
      </c>
      <c r="F204">
        <f t="shared" si="6"/>
        <v>1.2076495373224416E-3</v>
      </c>
      <c r="H204" s="1"/>
    </row>
    <row r="205" spans="1:8" x14ac:dyDescent="0.25">
      <c r="A205" s="39">
        <v>805.30636800000002</v>
      </c>
      <c r="B205" s="39">
        <v>1.00051</v>
      </c>
      <c r="E205" s="2">
        <f t="shared" si="7"/>
        <v>0.99963883004583209</v>
      </c>
      <c r="F205">
        <f t="shared" si="6"/>
        <v>8.7116995416791632E-4</v>
      </c>
      <c r="H205" s="1"/>
    </row>
    <row r="206" spans="1:8" x14ac:dyDescent="0.25">
      <c r="A206" s="39">
        <v>872.41523199999995</v>
      </c>
      <c r="B206" s="39">
        <v>1.0000800000000001</v>
      </c>
      <c r="E206" s="2">
        <f t="shared" si="7"/>
        <v>0.99962780600696322</v>
      </c>
      <c r="F206">
        <f t="shared" si="6"/>
        <v>4.5219399303686458E-4</v>
      </c>
      <c r="H206" s="1"/>
    </row>
    <row r="207" spans="1:8" x14ac:dyDescent="0.25">
      <c r="A207" s="39">
        <v>939.52409599999999</v>
      </c>
      <c r="B207" s="39">
        <v>1.0005999999999999</v>
      </c>
      <c r="E207" s="2">
        <f t="shared" si="7"/>
        <v>0.99961867737660948</v>
      </c>
      <c r="F207">
        <f t="shared" si="6"/>
        <v>9.8132262339045706E-4</v>
      </c>
      <c r="H207" s="1"/>
    </row>
    <row r="208" spans="1:8" x14ac:dyDescent="0.25">
      <c r="A208" s="39">
        <v>1006.63296</v>
      </c>
      <c r="B208" s="39">
        <v>0.99967600000000001</v>
      </c>
      <c r="E208" s="2">
        <f t="shared" si="7"/>
        <v>0.99961101723896173</v>
      </c>
      <c r="F208">
        <f t="shared" si="6"/>
        <v>6.4982761038279158E-5</v>
      </c>
      <c r="H208" s="1"/>
    </row>
    <row r="209" spans="1:8" x14ac:dyDescent="0.25">
      <c r="A209" s="39">
        <v>1073.741824</v>
      </c>
      <c r="B209" s="39">
        <v>0.99908699999999995</v>
      </c>
      <c r="E209" s="2">
        <f t="shared" si="7"/>
        <v>0.99960451484183643</v>
      </c>
      <c r="F209">
        <f t="shared" si="6"/>
        <v>-5.1751484183648611E-4</v>
      </c>
      <c r="H209" s="1"/>
    </row>
    <row r="210" spans="1:8" x14ac:dyDescent="0.25">
      <c r="A210" s="39">
        <v>1207.959552</v>
      </c>
      <c r="B210" s="39">
        <v>0.99967200000000001</v>
      </c>
      <c r="E210" s="2">
        <f t="shared" si="7"/>
        <v>0.99959411526492414</v>
      </c>
      <c r="F210">
        <f t="shared" si="6"/>
        <v>7.7884735075861578E-5</v>
      </c>
      <c r="H210" s="1"/>
    </row>
    <row r="211" spans="1:8" x14ac:dyDescent="0.25">
      <c r="A211" s="39">
        <v>1342.1772800000001</v>
      </c>
      <c r="B211" s="39">
        <v>0.99942299999999995</v>
      </c>
      <c r="E211" s="2">
        <f t="shared" si="7"/>
        <v>0.9995862136801007</v>
      </c>
      <c r="F211">
        <f t="shared" si="6"/>
        <v>-1.6321368010074888E-4</v>
      </c>
      <c r="H211" s="1"/>
    </row>
    <row r="212" spans="1:8" x14ac:dyDescent="0.25">
      <c r="A212" s="39">
        <v>1476.395008</v>
      </c>
      <c r="B212" s="39">
        <v>0.99931000000000003</v>
      </c>
      <c r="E212" s="2">
        <f t="shared" si="7"/>
        <v>0.99958004384404853</v>
      </c>
      <c r="F212">
        <f t="shared" si="6"/>
        <v>-2.7004384404849535E-4</v>
      </c>
      <c r="H212" s="1"/>
    </row>
    <row r="213" spans="1:8" x14ac:dyDescent="0.25">
      <c r="A213" s="39">
        <v>1610.612736</v>
      </c>
      <c r="B213" s="39">
        <v>0.99965000000000004</v>
      </c>
      <c r="E213" s="2">
        <f t="shared" si="7"/>
        <v>0.99957511731156223</v>
      </c>
      <c r="F213">
        <f t="shared" si="6"/>
        <v>7.4882688437805101E-5</v>
      </c>
      <c r="H213" s="1"/>
    </row>
    <row r="214" spans="1:8" x14ac:dyDescent="0.25">
      <c r="A214" s="39">
        <v>1744.8304639999999</v>
      </c>
      <c r="B214" s="39">
        <v>1.00004</v>
      </c>
      <c r="E214" s="2">
        <f t="shared" si="7"/>
        <v>0.99957110953403794</v>
      </c>
      <c r="F214">
        <f t="shared" si="6"/>
        <v>4.6889046596210182E-4</v>
      </c>
      <c r="H214" s="1"/>
    </row>
    <row r="215" spans="1:8" x14ac:dyDescent="0.25">
      <c r="A215" s="39">
        <v>1879.048192</v>
      </c>
      <c r="B215" s="39">
        <v>0.99951500000000004</v>
      </c>
      <c r="E215" s="2">
        <f t="shared" si="7"/>
        <v>0.99956779731517442</v>
      </c>
      <c r="F215">
        <f t="shared" si="6"/>
        <v>-5.2797315174379911E-5</v>
      </c>
      <c r="H215" s="1"/>
    </row>
    <row r="216" spans="1:8" x14ac:dyDescent="0.25">
      <c r="A216" s="39">
        <v>2013.2659200000001</v>
      </c>
      <c r="B216" s="39">
        <v>0.99900199999999995</v>
      </c>
      <c r="E216" s="2">
        <f t="shared" si="7"/>
        <v>0.99956502264068947</v>
      </c>
      <c r="F216">
        <f t="shared" si="6"/>
        <v>-5.6302264068952557E-4</v>
      </c>
      <c r="H216" s="1"/>
    </row>
    <row r="217" spans="1:8" x14ac:dyDescent="0.25">
      <c r="A217" s="39">
        <v>2147.4836479999999</v>
      </c>
      <c r="B217" s="39">
        <v>0.99815600000000004</v>
      </c>
      <c r="E217" s="2">
        <f t="shared" si="7"/>
        <v>0.99956267083243333</v>
      </c>
      <c r="F217">
        <f t="shared" si="6"/>
        <v>-1.4066708324332877E-3</v>
      </c>
      <c r="H217" s="1"/>
    </row>
    <row r="218" spans="1:8" x14ac:dyDescent="0.25">
      <c r="A218" s="39">
        <v>2415.9191040000001</v>
      </c>
      <c r="B218" s="39">
        <v>0.99723600000000001</v>
      </c>
      <c r="E218" s="2">
        <f t="shared" si="7"/>
        <v>0.99955891647220541</v>
      </c>
      <c r="F218">
        <f t="shared" si="6"/>
        <v>-2.3229164722053941E-3</v>
      </c>
      <c r="H218" s="1"/>
    </row>
    <row r="219" spans="1:8" x14ac:dyDescent="0.25">
      <c r="A219" s="39">
        <v>2684.3545600000002</v>
      </c>
      <c r="B219" s="39">
        <v>0.99862499999999998</v>
      </c>
      <c r="E219" s="2">
        <f t="shared" si="7"/>
        <v>0.99955606996226487</v>
      </c>
      <c r="F219">
        <f t="shared" si="6"/>
        <v>-9.3106996226488548E-4</v>
      </c>
      <c r="H219" s="1"/>
    </row>
    <row r="220" spans="1:8" x14ac:dyDescent="0.25">
      <c r="A220" s="39">
        <v>2952.7900159999999</v>
      </c>
      <c r="B220" s="39">
        <v>0.99816899999999997</v>
      </c>
      <c r="E220" s="2">
        <f t="shared" si="7"/>
        <v>0.99955385114804152</v>
      </c>
      <c r="F220">
        <f t="shared" si="6"/>
        <v>-1.3848511480415437E-3</v>
      </c>
      <c r="H220" s="1"/>
    </row>
    <row r="221" spans="1:8" x14ac:dyDescent="0.25">
      <c r="A221" s="39">
        <v>3221.2254720000001</v>
      </c>
      <c r="B221" s="39">
        <v>0.99888600000000005</v>
      </c>
      <c r="E221" s="2">
        <f t="shared" si="7"/>
        <v>0.99955208199811552</v>
      </c>
      <c r="F221">
        <f t="shared" si="6"/>
        <v>-6.660819981154642E-4</v>
      </c>
      <c r="H221" s="1"/>
    </row>
    <row r="222" spans="1:8" x14ac:dyDescent="0.25">
      <c r="A222" s="39">
        <v>3489.6609279999998</v>
      </c>
      <c r="B222" s="39">
        <v>0.99854399999999999</v>
      </c>
      <c r="E222" s="2">
        <f t="shared" si="7"/>
        <v>0.99955064452346354</v>
      </c>
      <c r="F222">
        <f t="shared" si="6"/>
        <v>-1.0066445234635513E-3</v>
      </c>
      <c r="H222" s="1"/>
    </row>
    <row r="223" spans="1:8" x14ac:dyDescent="0.25">
      <c r="A223" s="39">
        <v>3758.0963839999999</v>
      </c>
      <c r="B223" s="39">
        <v>0.99812100000000004</v>
      </c>
      <c r="E223" s="2">
        <f t="shared" si="7"/>
        <v>0.9995494577574725</v>
      </c>
      <c r="F223">
        <f t="shared" si="6"/>
        <v>-1.4284577574724677E-3</v>
      </c>
      <c r="H223" s="1"/>
    </row>
    <row r="224" spans="1:8" x14ac:dyDescent="0.25">
      <c r="A224" s="39">
        <v>4026.5318400000001</v>
      </c>
      <c r="B224" s="39">
        <v>0.99765599999999999</v>
      </c>
      <c r="E224" s="2">
        <f t="shared" si="7"/>
        <v>0.99954846448517021</v>
      </c>
      <c r="F224">
        <f t="shared" si="6"/>
        <v>-1.8924644851702199E-3</v>
      </c>
      <c r="H224" s="1"/>
    </row>
    <row r="225" spans="1:8" x14ac:dyDescent="0.25">
      <c r="A225" s="39">
        <v>4294.9672959999998</v>
      </c>
      <c r="B225" s="39">
        <v>0.99826499999999996</v>
      </c>
      <c r="E225" s="2">
        <f t="shared" si="7"/>
        <v>0.99954762324958824</v>
      </c>
      <c r="F225">
        <f t="shared" si="6"/>
        <v>-1.2826232495882772E-3</v>
      </c>
      <c r="H225" s="1"/>
    </row>
    <row r="226" spans="1:8" x14ac:dyDescent="0.25">
      <c r="A226" s="39">
        <v>4831.8382080000001</v>
      </c>
      <c r="B226" s="39">
        <v>0.99837799999999999</v>
      </c>
      <c r="E226" s="2">
        <f t="shared" si="7"/>
        <v>0.99954628163419945</v>
      </c>
      <c r="F226">
        <f t="shared" si="6"/>
        <v>-1.168281634199464E-3</v>
      </c>
      <c r="H226" s="1"/>
    </row>
    <row r="227" spans="1:8" x14ac:dyDescent="0.25">
      <c r="A227" s="39">
        <v>5368.7091200000004</v>
      </c>
      <c r="B227" s="39">
        <v>0.99890299999999999</v>
      </c>
      <c r="E227" s="2">
        <f t="shared" si="7"/>
        <v>0.99954526556447065</v>
      </c>
      <c r="F227">
        <f t="shared" si="6"/>
        <v>-6.4226556447066763E-4</v>
      </c>
      <c r="H227" s="1"/>
    </row>
    <row r="228" spans="1:8" x14ac:dyDescent="0.25">
      <c r="A228" s="39">
        <v>5905.5800319999998</v>
      </c>
      <c r="B228" s="39">
        <v>0.99791300000000005</v>
      </c>
      <c r="E228" s="2">
        <f t="shared" si="7"/>
        <v>0.99954447426438686</v>
      </c>
      <c r="F228">
        <f t="shared" si="6"/>
        <v>-1.6314742643868119E-3</v>
      </c>
      <c r="H228" s="1"/>
    </row>
    <row r="229" spans="1:8" x14ac:dyDescent="0.25">
      <c r="A229" s="39">
        <v>6442.4509440000002</v>
      </c>
      <c r="B229" s="39">
        <v>0.99755899999999997</v>
      </c>
      <c r="E229" s="2">
        <f t="shared" si="7"/>
        <v>0.99954384379847128</v>
      </c>
      <c r="F229">
        <f t="shared" si="6"/>
        <v>-1.984843798471303E-3</v>
      </c>
      <c r="H229" s="1"/>
    </row>
    <row r="230" spans="1:8" x14ac:dyDescent="0.25">
      <c r="A230" s="39">
        <v>6979.3218559999996</v>
      </c>
      <c r="B230" s="39">
        <v>0.99693500000000002</v>
      </c>
      <c r="E230" s="2">
        <f t="shared" si="7"/>
        <v>0.99954333185136235</v>
      </c>
      <c r="F230">
        <f t="shared" si="6"/>
        <v>-2.6083318513623333E-3</v>
      </c>
      <c r="H230" s="1"/>
    </row>
    <row r="231" spans="1:8" x14ac:dyDescent="0.25">
      <c r="A231" s="39">
        <v>7516.1927679999999</v>
      </c>
      <c r="B231" s="39">
        <v>0.99749500000000002</v>
      </c>
      <c r="E231" s="2">
        <f t="shared" si="7"/>
        <v>0.99954290941835755</v>
      </c>
      <c r="F231">
        <f t="shared" si="6"/>
        <v>-2.0479094183575297E-3</v>
      </c>
      <c r="H231" s="1"/>
    </row>
    <row r="232" spans="1:8" x14ac:dyDescent="0.25">
      <c r="A232" s="39">
        <v>8053.0636800000002</v>
      </c>
      <c r="B232" s="39">
        <v>0.99692700000000001</v>
      </c>
      <c r="E232" s="2">
        <f t="shared" si="7"/>
        <v>0.99954255602315278</v>
      </c>
      <c r="F232">
        <f t="shared" si="6"/>
        <v>-2.6155560231527764E-3</v>
      </c>
      <c r="H232" s="1"/>
    </row>
    <row r="233" spans="1:8" x14ac:dyDescent="0.25">
      <c r="A233" s="39">
        <v>8589.9345919999996</v>
      </c>
      <c r="B233" s="39">
        <v>0.994892</v>
      </c>
      <c r="E233" s="2">
        <f t="shared" si="7"/>
        <v>0.999542256841354</v>
      </c>
      <c r="F233">
        <f t="shared" si="6"/>
        <v>-4.6502568413540057E-3</v>
      </c>
      <c r="H233" s="1"/>
    </row>
    <row r="234" spans="1:8" x14ac:dyDescent="0.25">
      <c r="A234" s="39">
        <v>9663.6764160000002</v>
      </c>
      <c r="B234" s="39">
        <v>0.99435499999999999</v>
      </c>
      <c r="E234" s="2">
        <f t="shared" si="7"/>
        <v>0.99954177993995608</v>
      </c>
      <c r="F234">
        <f t="shared" si="6"/>
        <v>-5.1867799399560877E-3</v>
      </c>
      <c r="H234" s="1"/>
    </row>
    <row r="235" spans="1:8" x14ac:dyDescent="0.25">
      <c r="A235" s="39">
        <v>10737.418240000001</v>
      </c>
      <c r="B235" s="39">
        <v>0.99401300000000004</v>
      </c>
      <c r="E235" s="2">
        <f t="shared" si="7"/>
        <v>0.99954141896415927</v>
      </c>
      <c r="F235">
        <f t="shared" si="6"/>
        <v>-5.5284189641592318E-3</v>
      </c>
      <c r="H235" s="1"/>
    </row>
    <row r="236" spans="1:8" x14ac:dyDescent="0.25">
      <c r="A236" s="39">
        <v>11811.160064</v>
      </c>
      <c r="B236" s="39">
        <v>0.99527399999999999</v>
      </c>
      <c r="E236" s="2">
        <f t="shared" si="7"/>
        <v>0.99954113797044142</v>
      </c>
      <c r="F236">
        <f t="shared" si="6"/>
        <v>-4.2671379704414258E-3</v>
      </c>
      <c r="H236" s="1"/>
    </row>
    <row r="237" spans="1:8" x14ac:dyDescent="0.25">
      <c r="A237" s="39">
        <v>12884.901888</v>
      </c>
      <c r="B237" s="39">
        <v>0.99525600000000003</v>
      </c>
      <c r="E237" s="2">
        <f t="shared" si="7"/>
        <v>0.99954091417438551</v>
      </c>
      <c r="F237">
        <f t="shared" si="6"/>
        <v>-4.2849141743854791E-3</v>
      </c>
      <c r="H237" s="1"/>
    </row>
    <row r="238" spans="1:8" x14ac:dyDescent="0.25">
      <c r="A238" s="39">
        <v>13958.643711999999</v>
      </c>
      <c r="B238" s="39">
        <v>0.99538499999999996</v>
      </c>
      <c r="E238" s="2">
        <f t="shared" si="7"/>
        <v>0.99954073250673003</v>
      </c>
      <c r="F238">
        <f t="shared" si="6"/>
        <v>-4.1557325067300699E-3</v>
      </c>
      <c r="H238" s="1"/>
    </row>
    <row r="239" spans="1:8" x14ac:dyDescent="0.25">
      <c r="A239" s="39">
        <v>15032.385536</v>
      </c>
      <c r="B239" s="39">
        <v>0.99522600000000006</v>
      </c>
      <c r="H239" s="1"/>
    </row>
    <row r="240" spans="1:8" x14ac:dyDescent="0.25">
      <c r="A240" s="39">
        <v>16106.12736</v>
      </c>
      <c r="B240" s="39">
        <v>0.99484399999999995</v>
      </c>
      <c r="H240" s="1"/>
    </row>
    <row r="241" spans="1:8" x14ac:dyDescent="0.25">
      <c r="A241" s="39">
        <v>17179.869183999999</v>
      </c>
      <c r="B241" s="39">
        <v>0.99307999999999996</v>
      </c>
      <c r="H241" s="1"/>
    </row>
    <row r="242" spans="1:8" x14ac:dyDescent="0.25">
      <c r="A242" s="39">
        <v>19327.352832</v>
      </c>
      <c r="B242" s="39">
        <v>0.99082999999999999</v>
      </c>
      <c r="H242" s="1"/>
    </row>
    <row r="243" spans="1:8" x14ac:dyDescent="0.25">
      <c r="A243" s="39">
        <v>21474.836480000002</v>
      </c>
      <c r="B243" s="39">
        <v>0.99104800000000004</v>
      </c>
      <c r="H243" s="1"/>
    </row>
    <row r="244" spans="1:8" x14ac:dyDescent="0.25">
      <c r="A244" s="39">
        <v>23622.320127999999</v>
      </c>
      <c r="B244" s="39">
        <v>0.98984000000000005</v>
      </c>
      <c r="H244" s="1"/>
    </row>
    <row r="245" spans="1:8" x14ac:dyDescent="0.25">
      <c r="A245" s="39">
        <v>25769.803776000001</v>
      </c>
      <c r="B245" s="39">
        <v>0.98759600000000003</v>
      </c>
      <c r="H245" s="1"/>
    </row>
    <row r="246" spans="1:8" x14ac:dyDescent="0.25">
      <c r="A246" s="39">
        <v>27917.287423999998</v>
      </c>
      <c r="B246" s="39">
        <v>0.989672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85" zoomScaleNormal="85" workbookViewId="0">
      <selection activeCell="G2" sqref="G2"/>
    </sheetView>
  </sheetViews>
  <sheetFormatPr defaultColWidth="9" defaultRowHeight="15" x14ac:dyDescent="0.25"/>
  <cols>
    <col min="1" max="1" width="14.28515625" bestFit="1" customWidth="1"/>
    <col min="2" max="2" width="13.5703125" bestFit="1" customWidth="1"/>
    <col min="3" max="3" width="11.42578125" customWidth="1"/>
    <col min="4" max="4" width="9" customWidth="1"/>
    <col min="5" max="5" width="9.140625" style="2" customWidth="1"/>
    <col min="6" max="8" width="9" customWidth="1"/>
    <col min="9" max="9" width="10.28515625" style="4" bestFit="1" customWidth="1"/>
  </cols>
  <sheetData>
    <row r="1" spans="1:12" x14ac:dyDescent="0.25">
      <c r="A1" t="s">
        <v>6</v>
      </c>
      <c r="B1" t="s">
        <v>16</v>
      </c>
      <c r="C1" t="s">
        <v>0</v>
      </c>
      <c r="E1" s="2" t="s">
        <v>3</v>
      </c>
      <c r="F1" s="2" t="s">
        <v>4</v>
      </c>
      <c r="G1" s="2" t="s">
        <v>5</v>
      </c>
      <c r="I1"/>
      <c r="J1" s="4" t="s">
        <v>18</v>
      </c>
      <c r="L1" s="3" t="s">
        <v>21</v>
      </c>
    </row>
    <row r="2" spans="1:12" ht="15.75" x14ac:dyDescent="0.25">
      <c r="A2" s="40">
        <v>3.9999999999999998E-6</v>
      </c>
      <c r="B2" s="40">
        <v>1.3458600000000001</v>
      </c>
      <c r="C2" s="3" t="s">
        <v>1</v>
      </c>
      <c r="D2">
        <v>0.99958076264429196</v>
      </c>
      <c r="E2" s="2">
        <f>$D$2+1/$D$3*($D$8/(1+A2/$D$4)/SQRT(1+A2/$D$4/$D$5/$D$5)+(1-$D$8)/(1+A2/$D$6)/SQRT(1+A2/$D$6/$D$7/$D$7))*(1+$D$9*EXP(-A2/$D$10)+$D$11*EXP(-A2/$D$12))</f>
        <v>1.4119361970758915</v>
      </c>
      <c r="F2">
        <f t="shared" ref="F2:F65" si="0">B2-E2</f>
        <v>-6.6076197075891407E-2</v>
      </c>
      <c r="G2">
        <f>SUMSQ(F$3:F$190)</f>
        <v>1.982681888037718E-3</v>
      </c>
      <c r="H2" s="1"/>
      <c r="I2" s="13" t="s">
        <v>19</v>
      </c>
      <c r="J2" s="25">
        <v>81.03</v>
      </c>
      <c r="L2" s="14">
        <f>(J2+J3)/D3</f>
        <v>63.350315288683234</v>
      </c>
    </row>
    <row r="3" spans="1:12" x14ac:dyDescent="0.25">
      <c r="A3" s="40">
        <v>7.9999999999999996E-6</v>
      </c>
      <c r="B3" s="40">
        <v>1.41076</v>
      </c>
      <c r="C3" s="3" t="s">
        <v>2</v>
      </c>
      <c r="D3">
        <v>2.6517626508168206</v>
      </c>
      <c r="E3" s="2">
        <f t="shared" ref="E3:E66" si="1">$D$2+1/$D$3*($D$8/(1+A3/$D$4)/SQRT(1+A3/$D$4/$D$5/$D$5)+(1-$D$8)/(1+A3/$D$6)/SQRT(1+A3/$D$6/$D$7/$D$7))*(1+$D$9*EXP(-A3/$D$10)+$D$11*EXP(-A3/$D$12))</f>
        <v>1.4117632467999184</v>
      </c>
      <c r="F3">
        <f t="shared" si="0"/>
        <v>-1.003246799918367E-3</v>
      </c>
      <c r="H3" s="1"/>
      <c r="I3" s="13" t="s">
        <v>20</v>
      </c>
      <c r="J3" s="26">
        <v>86.96</v>
      </c>
    </row>
    <row r="4" spans="1:12" x14ac:dyDescent="0.25">
      <c r="A4" s="40">
        <v>1.2E-5</v>
      </c>
      <c r="B4" s="40">
        <v>1.39852</v>
      </c>
      <c r="C4" s="3" t="s">
        <v>26</v>
      </c>
      <c r="D4">
        <f>('1_Rh110 in buffer'!D4+'2_Rh110 in buffer'!D4)/2</f>
        <v>0.1892478885079571</v>
      </c>
      <c r="E4" s="2">
        <f t="shared" si="1"/>
        <v>1.4115920349719153</v>
      </c>
      <c r="F4">
        <f t="shared" si="0"/>
        <v>-1.3072034971915336E-2</v>
      </c>
      <c r="H4" s="1"/>
    </row>
    <row r="5" spans="1:12" x14ac:dyDescent="0.25">
      <c r="A5" s="40">
        <v>1.5999999999999999E-5</v>
      </c>
      <c r="B5" s="40">
        <v>1.41814</v>
      </c>
      <c r="C5" s="3" t="s">
        <v>22</v>
      </c>
      <c r="D5">
        <f>('1_Rh110 in buffer'!D5+'2_Rh110 in buffer'!D5)/2</f>
        <v>5.9953640241376469</v>
      </c>
      <c r="E5" s="2">
        <f t="shared" si="1"/>
        <v>1.4114225417458184</v>
      </c>
      <c r="F5">
        <f t="shared" si="0"/>
        <v>6.7174582541815742E-3</v>
      </c>
      <c r="H5" s="1"/>
    </row>
    <row r="6" spans="1:12" x14ac:dyDescent="0.25">
      <c r="A6" s="40">
        <v>2.0000000000000002E-5</v>
      </c>
      <c r="B6" s="40">
        <v>1.41622</v>
      </c>
      <c r="C6" s="3" t="s">
        <v>25</v>
      </c>
      <c r="D6">
        <v>1.5946525153677655</v>
      </c>
      <c r="E6" s="2">
        <f t="shared" si="1"/>
        <v>1.411254747504062</v>
      </c>
      <c r="F6">
        <f t="shared" si="0"/>
        <v>4.965252495938044E-3</v>
      </c>
      <c r="H6" s="1"/>
    </row>
    <row r="7" spans="1:12" x14ac:dyDescent="0.25">
      <c r="A7" s="40">
        <v>2.4000000000000001E-5</v>
      </c>
      <c r="B7" s="40">
        <v>1.4091400000000001</v>
      </c>
      <c r="C7" s="3" t="s">
        <v>22</v>
      </c>
      <c r="D7">
        <f>('1_Rh110 in buffer'!D5+'2_Rh110 in buffer'!D5)/2</f>
        <v>5.9953640241376469</v>
      </c>
      <c r="E7" s="2">
        <f t="shared" si="1"/>
        <v>1.4110886328549481</v>
      </c>
      <c r="F7">
        <f t="shared" si="0"/>
        <v>-1.9486328549480625E-3</v>
      </c>
      <c r="H7" s="1"/>
    </row>
    <row r="8" spans="1:12" x14ac:dyDescent="0.25">
      <c r="A8" s="40">
        <v>2.8E-5</v>
      </c>
      <c r="B8" s="40">
        <v>1.42035</v>
      </c>
      <c r="C8" s="3" t="s">
        <v>13</v>
      </c>
      <c r="D8">
        <v>0.43409967210472755</v>
      </c>
      <c r="E8" s="2">
        <f t="shared" si="1"/>
        <v>1.4109241786300419</v>
      </c>
      <c r="F8">
        <f t="shared" si="0"/>
        <v>9.4258213699580651E-3</v>
      </c>
      <c r="H8" s="1"/>
    </row>
    <row r="9" spans="1:12" x14ac:dyDescent="0.25">
      <c r="A9" s="40">
        <v>3.1999999999999999E-5</v>
      </c>
      <c r="B9" s="40">
        <v>1.4174</v>
      </c>
      <c r="C9" s="3" t="s">
        <v>14</v>
      </c>
      <c r="D9">
        <v>5.9147950897897456E-2</v>
      </c>
      <c r="E9" s="2">
        <f t="shared" si="1"/>
        <v>1.4107613658816018</v>
      </c>
      <c r="F9">
        <f t="shared" si="0"/>
        <v>6.6386341183981568E-3</v>
      </c>
      <c r="H9" s="1"/>
    </row>
    <row r="10" spans="1:12" x14ac:dyDescent="0.25">
      <c r="A10" s="40">
        <v>3.6000000000000001E-5</v>
      </c>
      <c r="B10" s="40">
        <v>1.4047099999999999</v>
      </c>
      <c r="C10" s="3" t="s">
        <v>24</v>
      </c>
      <c r="D10">
        <v>4.6240239068923786E-3</v>
      </c>
      <c r="E10" s="2">
        <f t="shared" si="1"/>
        <v>1.4106001758800348</v>
      </c>
      <c r="F10">
        <f t="shared" si="0"/>
        <v>-5.8901758800349313E-3</v>
      </c>
      <c r="H10" s="1"/>
    </row>
    <row r="11" spans="1:12" x14ac:dyDescent="0.25">
      <c r="A11" s="40">
        <v>4.0000000000000003E-5</v>
      </c>
      <c r="B11" s="40">
        <v>1.4025000000000001</v>
      </c>
      <c r="C11" s="3" t="s">
        <v>15</v>
      </c>
      <c r="D11">
        <v>3.4784075262874074E-2</v>
      </c>
      <c r="E11" s="2">
        <f t="shared" si="1"/>
        <v>1.4104405901113843</v>
      </c>
      <c r="F11">
        <f t="shared" si="0"/>
        <v>-7.9405901113842603E-3</v>
      </c>
      <c r="H11" s="1"/>
    </row>
    <row r="12" spans="1:12" x14ac:dyDescent="0.25">
      <c r="A12" s="40">
        <v>4.3999999999999999E-5</v>
      </c>
      <c r="B12" s="40">
        <v>1.40103</v>
      </c>
      <c r="C12" s="3" t="s">
        <v>23</v>
      </c>
      <c r="D12" s="1">
        <v>3.4549241913521442E-4</v>
      </c>
      <c r="E12" s="2">
        <f t="shared" si="1"/>
        <v>1.4102825902748459</v>
      </c>
      <c r="F12">
        <f t="shared" si="0"/>
        <v>-9.2525902748459288E-3</v>
      </c>
      <c r="H12" s="1"/>
    </row>
    <row r="13" spans="1:12" x14ac:dyDescent="0.25">
      <c r="A13" s="40">
        <v>4.8000000000000001E-5</v>
      </c>
      <c r="B13" s="40">
        <v>1.4028</v>
      </c>
      <c r="E13" s="2">
        <f t="shared" si="1"/>
        <v>1.4101261582803113</v>
      </c>
      <c r="F13">
        <f t="shared" si="0"/>
        <v>-7.3261582803112457E-3</v>
      </c>
      <c r="H13" s="1"/>
    </row>
    <row r="14" spans="1:12" x14ac:dyDescent="0.25">
      <c r="A14" s="40">
        <v>5.1999999999999997E-5</v>
      </c>
      <c r="B14" s="40">
        <v>1.4275800000000001</v>
      </c>
      <c r="E14" s="2">
        <f t="shared" si="1"/>
        <v>1.4099712762459407</v>
      </c>
      <c r="F14">
        <f t="shared" si="0"/>
        <v>1.7608723754059419E-2</v>
      </c>
      <c r="H14" s="1"/>
    </row>
    <row r="15" spans="1:12" x14ac:dyDescent="0.25">
      <c r="A15" s="40">
        <v>5.5999999999999999E-5</v>
      </c>
      <c r="B15" s="40">
        <v>1.4091400000000001</v>
      </c>
      <c r="E15" s="2">
        <f t="shared" si="1"/>
        <v>1.4098179264957635</v>
      </c>
      <c r="F15">
        <f t="shared" si="0"/>
        <v>-6.7792649576348119E-4</v>
      </c>
      <c r="H15" s="1"/>
    </row>
    <row r="16" spans="1:12" x14ac:dyDescent="0.25">
      <c r="A16" s="40">
        <v>6.0000000000000002E-5</v>
      </c>
      <c r="B16" s="40">
        <v>1.4042699999999999</v>
      </c>
      <c r="E16" s="2">
        <f t="shared" si="1"/>
        <v>1.4096660915573069</v>
      </c>
      <c r="F16">
        <f t="shared" si="0"/>
        <v>-5.3960915573070256E-3</v>
      </c>
      <c r="H16" s="1"/>
    </row>
    <row r="17" spans="1:8" x14ac:dyDescent="0.25">
      <c r="A17" s="40">
        <v>6.3999999999999997E-5</v>
      </c>
      <c r="B17" s="40">
        <v>1.4005799999999999</v>
      </c>
      <c r="E17" s="2">
        <f t="shared" si="1"/>
        <v>1.4095157541592511</v>
      </c>
      <c r="F17">
        <f t="shared" si="0"/>
        <v>-8.9357541592511858E-3</v>
      </c>
      <c r="H17" s="1"/>
    </row>
    <row r="18" spans="1:8" x14ac:dyDescent="0.25">
      <c r="A18" s="40">
        <v>7.2000000000000002E-5</v>
      </c>
      <c r="B18" s="40">
        <v>1.41696</v>
      </c>
      <c r="E18" s="2">
        <f t="shared" si="1"/>
        <v>1.4092195038909479</v>
      </c>
      <c r="F18">
        <f t="shared" si="0"/>
        <v>7.7404961090521418E-3</v>
      </c>
      <c r="H18" s="1"/>
    </row>
    <row r="19" spans="1:8" x14ac:dyDescent="0.25">
      <c r="A19" s="40">
        <v>8.0000000000000007E-5</v>
      </c>
      <c r="B19" s="40">
        <v>1.4129700000000001</v>
      </c>
      <c r="E19" s="2">
        <f t="shared" si="1"/>
        <v>1.4089290414559548</v>
      </c>
      <c r="F19">
        <f t="shared" si="0"/>
        <v>4.0409585440452922E-3</v>
      </c>
      <c r="H19" s="1"/>
    </row>
    <row r="20" spans="1:8" x14ac:dyDescent="0.25">
      <c r="A20" s="40">
        <v>8.7999999999999998E-5</v>
      </c>
      <c r="B20" s="40">
        <v>1.4146700000000001</v>
      </c>
      <c r="E20" s="2">
        <f t="shared" si="1"/>
        <v>1.4086442356922517</v>
      </c>
      <c r="F20">
        <f t="shared" si="0"/>
        <v>6.0257643077483714E-3</v>
      </c>
      <c r="H20" s="1"/>
    </row>
    <row r="21" spans="1:8" x14ac:dyDescent="0.25">
      <c r="A21" s="40">
        <v>9.6000000000000002E-5</v>
      </c>
      <c r="B21" s="40">
        <v>1.4075899999999999</v>
      </c>
      <c r="E21" s="2">
        <f t="shared" si="1"/>
        <v>1.408364958440302</v>
      </c>
      <c r="F21">
        <f t="shared" si="0"/>
        <v>-7.7495844030206484E-4</v>
      </c>
      <c r="H21" s="1"/>
    </row>
    <row r="22" spans="1:8" x14ac:dyDescent="0.25">
      <c r="A22" s="40">
        <v>1.0399999999999999E-4</v>
      </c>
      <c r="B22" s="40">
        <v>1.4154800000000001</v>
      </c>
      <c r="E22" s="2">
        <f t="shared" si="1"/>
        <v>1.4080910844742667</v>
      </c>
      <c r="F22">
        <f t="shared" si="0"/>
        <v>7.3889155257333972E-3</v>
      </c>
      <c r="H22" s="1"/>
    </row>
    <row r="23" spans="1:8" x14ac:dyDescent="0.25">
      <c r="A23" s="40">
        <v>1.12E-4</v>
      </c>
      <c r="B23" s="40">
        <v>1.41032</v>
      </c>
      <c r="E23" s="2">
        <f t="shared" si="1"/>
        <v>1.4078224914347981</v>
      </c>
      <c r="F23">
        <f t="shared" si="0"/>
        <v>2.4975085652019224E-3</v>
      </c>
      <c r="H23" s="1"/>
    </row>
    <row r="24" spans="1:8" x14ac:dyDescent="0.25">
      <c r="A24" s="40">
        <v>1.2E-4</v>
      </c>
      <c r="B24" s="40">
        <v>1.39313</v>
      </c>
      <c r="E24" s="2">
        <f t="shared" si="1"/>
        <v>1.40755905976337</v>
      </c>
      <c r="F24">
        <f t="shared" si="0"/>
        <v>-1.4429059763370056E-2</v>
      </c>
      <c r="H24" s="1"/>
    </row>
    <row r="25" spans="1:8" x14ac:dyDescent="0.25">
      <c r="A25" s="40">
        <v>1.2799999999999999E-4</v>
      </c>
      <c r="B25" s="40">
        <v>1.40656</v>
      </c>
      <c r="E25" s="2">
        <f t="shared" si="1"/>
        <v>1.4073006726381148</v>
      </c>
      <c r="F25">
        <f t="shared" si="0"/>
        <v>-7.406726381147255E-4</v>
      </c>
      <c r="H25" s="1"/>
    </row>
    <row r="26" spans="1:8" x14ac:dyDescent="0.25">
      <c r="A26" s="40">
        <v>1.44E-4</v>
      </c>
      <c r="B26" s="40">
        <v>1.40479</v>
      </c>
      <c r="E26" s="2">
        <f t="shared" si="1"/>
        <v>1.4067985780472168</v>
      </c>
      <c r="F26">
        <f t="shared" si="0"/>
        <v>-2.0085780472167691E-3</v>
      </c>
      <c r="H26" s="1"/>
    </row>
    <row r="27" spans="1:8" x14ac:dyDescent="0.25">
      <c r="A27" s="40">
        <v>1.6000000000000001E-4</v>
      </c>
      <c r="B27" s="40">
        <v>1.40265</v>
      </c>
      <c r="E27" s="2">
        <f t="shared" si="1"/>
        <v>1.406315325473606</v>
      </c>
      <c r="F27">
        <f t="shared" si="0"/>
        <v>-3.6653254736060958E-3</v>
      </c>
      <c r="H27" s="1"/>
    </row>
    <row r="28" spans="1:8" x14ac:dyDescent="0.25">
      <c r="A28" s="40">
        <v>1.76E-4</v>
      </c>
      <c r="B28" s="40">
        <v>1.4095800000000001</v>
      </c>
      <c r="E28" s="2">
        <f t="shared" si="1"/>
        <v>1.4058500726494243</v>
      </c>
      <c r="F28">
        <f t="shared" si="0"/>
        <v>3.7299273505757569E-3</v>
      </c>
      <c r="H28" s="1"/>
    </row>
    <row r="29" spans="1:8" x14ac:dyDescent="0.25">
      <c r="A29" s="40">
        <v>1.92E-4</v>
      </c>
      <c r="B29" s="40">
        <v>1.4130499999999999</v>
      </c>
      <c r="E29" s="2">
        <f t="shared" si="1"/>
        <v>1.4054020154193394</v>
      </c>
      <c r="F29">
        <f t="shared" si="0"/>
        <v>7.6479845806605162E-3</v>
      </c>
      <c r="H29" s="1"/>
    </row>
    <row r="30" spans="1:8" x14ac:dyDescent="0.25">
      <c r="A30" s="40">
        <v>2.0799999999999999E-4</v>
      </c>
      <c r="B30" s="40">
        <v>1.4075500000000001</v>
      </c>
      <c r="E30" s="2">
        <f t="shared" si="1"/>
        <v>1.4049703860143337</v>
      </c>
      <c r="F30">
        <f t="shared" si="0"/>
        <v>2.579613985666418E-3</v>
      </c>
      <c r="H30" s="1"/>
    </row>
    <row r="31" spans="1:8" x14ac:dyDescent="0.25">
      <c r="A31" s="40">
        <v>2.24E-4</v>
      </c>
      <c r="B31" s="40">
        <v>1.41117</v>
      </c>
      <c r="E31" s="2">
        <f t="shared" si="1"/>
        <v>1.4045544514036814</v>
      </c>
      <c r="F31">
        <f t="shared" si="0"/>
        <v>6.6155485963186322E-3</v>
      </c>
      <c r="H31" s="1"/>
    </row>
    <row r="32" spans="1:8" x14ac:dyDescent="0.25">
      <c r="A32" s="40">
        <v>2.4000000000000001E-4</v>
      </c>
      <c r="B32" s="40">
        <v>1.4021699999999999</v>
      </c>
      <c r="E32" s="2">
        <f t="shared" si="1"/>
        <v>1.4041535117215747</v>
      </c>
      <c r="F32">
        <f t="shared" si="0"/>
        <v>-1.9835117215747378E-3</v>
      </c>
      <c r="H32" s="1"/>
    </row>
    <row r="33" spans="1:8" x14ac:dyDescent="0.25">
      <c r="A33" s="40">
        <v>2.5599999999999999E-4</v>
      </c>
      <c r="B33" s="40">
        <v>1.40317</v>
      </c>
      <c r="E33" s="2">
        <f t="shared" si="1"/>
        <v>1.403766898765018</v>
      </c>
      <c r="F33">
        <f t="shared" si="0"/>
        <v>-5.9689876501800576E-4</v>
      </c>
      <c r="H33" s="1"/>
    </row>
    <row r="34" spans="1:8" x14ac:dyDescent="0.25">
      <c r="A34" s="40">
        <v>2.8800000000000001E-4</v>
      </c>
      <c r="B34" s="40">
        <v>1.4017500000000001</v>
      </c>
      <c r="E34" s="2">
        <f t="shared" si="1"/>
        <v>1.4030341299911875</v>
      </c>
      <c r="F34">
        <f t="shared" si="0"/>
        <v>-1.2841299911874327E-3</v>
      </c>
      <c r="H34" s="1"/>
    </row>
    <row r="35" spans="1:8" x14ac:dyDescent="0.25">
      <c r="A35" s="40">
        <v>3.2000000000000003E-4</v>
      </c>
      <c r="B35" s="40">
        <v>1.40754</v>
      </c>
      <c r="E35" s="2">
        <f t="shared" si="1"/>
        <v>1.4023513798204446</v>
      </c>
      <c r="F35">
        <f t="shared" si="0"/>
        <v>5.1886201795554587E-3</v>
      </c>
      <c r="H35" s="1"/>
    </row>
    <row r="36" spans="1:8" x14ac:dyDescent="0.25">
      <c r="A36" s="40">
        <v>3.5199999999999999E-4</v>
      </c>
      <c r="B36" s="40">
        <v>1.40333</v>
      </c>
      <c r="E36" s="2">
        <f t="shared" si="1"/>
        <v>1.4017143043177833</v>
      </c>
      <c r="F36">
        <f t="shared" si="0"/>
        <v>1.6156956822166446E-3</v>
      </c>
      <c r="H36" s="1"/>
    </row>
    <row r="37" spans="1:8" x14ac:dyDescent="0.25">
      <c r="A37" s="40">
        <v>3.8400000000000001E-4</v>
      </c>
      <c r="B37" s="40">
        <v>1.3942600000000001</v>
      </c>
      <c r="E37" s="2">
        <f t="shared" si="1"/>
        <v>1.4011189435746332</v>
      </c>
      <c r="F37">
        <f t="shared" si="0"/>
        <v>-6.8589435746331251E-3</v>
      </c>
      <c r="H37" s="1"/>
    </row>
    <row r="38" spans="1:8" x14ac:dyDescent="0.25">
      <c r="A38" s="40">
        <v>4.1599999999999997E-4</v>
      </c>
      <c r="B38" s="40">
        <v>1.3970400000000001</v>
      </c>
      <c r="E38" s="2">
        <f t="shared" si="1"/>
        <v>1.4005616877111187</v>
      </c>
      <c r="F38">
        <f t="shared" si="0"/>
        <v>-3.521687711118604E-3</v>
      </c>
      <c r="H38" s="1"/>
    </row>
    <row r="39" spans="1:8" x14ac:dyDescent="0.25">
      <c r="A39" s="40">
        <v>4.4799999999999999E-4</v>
      </c>
      <c r="B39" s="40">
        <v>1.39998</v>
      </c>
      <c r="E39" s="2">
        <f t="shared" si="1"/>
        <v>1.4000392458884674</v>
      </c>
      <c r="F39">
        <f t="shared" si="0"/>
        <v>-5.9245888467396313E-5</v>
      </c>
      <c r="H39" s="1"/>
    </row>
    <row r="40" spans="1:8" x14ac:dyDescent="0.25">
      <c r="A40" s="40">
        <v>4.8000000000000001E-4</v>
      </c>
      <c r="B40" s="40">
        <v>1.39415</v>
      </c>
      <c r="E40" s="2">
        <f t="shared" si="1"/>
        <v>1.3995486180650456</v>
      </c>
      <c r="F40">
        <f t="shared" si="0"/>
        <v>-5.3986180650456017E-3</v>
      </c>
      <c r="H40" s="1"/>
    </row>
    <row r="41" spans="1:8" x14ac:dyDescent="0.25">
      <c r="A41" s="40">
        <v>5.1199999999999998E-4</v>
      </c>
      <c r="B41" s="40">
        <v>1.39998</v>
      </c>
      <c r="E41" s="2">
        <f t="shared" si="1"/>
        <v>1.3990870692531017</v>
      </c>
      <c r="F41">
        <f t="shared" si="0"/>
        <v>8.9293074689833496E-4</v>
      </c>
      <c r="H41" s="1"/>
    </row>
    <row r="42" spans="1:8" x14ac:dyDescent="0.25">
      <c r="A42" s="40">
        <v>5.7600000000000001E-4</v>
      </c>
      <c r="B42" s="40">
        <v>1.39419</v>
      </c>
      <c r="E42" s="2">
        <f t="shared" si="1"/>
        <v>1.3982414552757458</v>
      </c>
      <c r="F42">
        <f t="shared" si="0"/>
        <v>-4.0514552757457967E-3</v>
      </c>
      <c r="H42" s="1"/>
    </row>
    <row r="43" spans="1:8" x14ac:dyDescent="0.25">
      <c r="A43" s="40">
        <v>6.4000000000000005E-4</v>
      </c>
      <c r="B43" s="40">
        <v>1.3943399999999999</v>
      </c>
      <c r="E43" s="2">
        <f t="shared" si="1"/>
        <v>1.3974849839831833</v>
      </c>
      <c r="F43">
        <f t="shared" si="0"/>
        <v>-3.1449839831834137E-3</v>
      </c>
      <c r="H43" s="1"/>
    </row>
    <row r="44" spans="1:8" x14ac:dyDescent="0.25">
      <c r="A44" s="40">
        <v>7.0399999999999998E-4</v>
      </c>
      <c r="B44" s="40">
        <v>1.39903</v>
      </c>
      <c r="E44" s="2">
        <f t="shared" si="1"/>
        <v>1.396803175095338</v>
      </c>
      <c r="F44">
        <f t="shared" si="0"/>
        <v>2.2268249046619726E-3</v>
      </c>
      <c r="H44" s="1"/>
    </row>
    <row r="45" spans="1:8" x14ac:dyDescent="0.25">
      <c r="A45" s="40">
        <v>7.6800000000000002E-4</v>
      </c>
      <c r="B45" s="40">
        <v>1.39873</v>
      </c>
      <c r="E45" s="2">
        <f t="shared" si="1"/>
        <v>1.3961839906264881</v>
      </c>
      <c r="F45">
        <f t="shared" si="0"/>
        <v>2.5460093735119038E-3</v>
      </c>
      <c r="H45" s="1"/>
    </row>
    <row r="46" spans="1:8" x14ac:dyDescent="0.25">
      <c r="A46" s="40">
        <v>8.3199999999999995E-4</v>
      </c>
      <c r="B46" s="40">
        <v>1.39672</v>
      </c>
      <c r="E46" s="2">
        <f t="shared" si="1"/>
        <v>1.3956174216652801</v>
      </c>
      <c r="F46">
        <f t="shared" si="0"/>
        <v>1.1025783347198281E-3</v>
      </c>
      <c r="H46" s="1"/>
    </row>
    <row r="47" spans="1:8" x14ac:dyDescent="0.25">
      <c r="A47" s="40">
        <v>8.9599999999999999E-4</v>
      </c>
      <c r="B47" s="40">
        <v>1.39185</v>
      </c>
      <c r="E47" s="2">
        <f t="shared" si="1"/>
        <v>1.3950951450870126</v>
      </c>
      <c r="F47">
        <f t="shared" si="0"/>
        <v>-3.2451450870125687E-3</v>
      </c>
      <c r="H47" s="1"/>
    </row>
    <row r="48" spans="1:8" x14ac:dyDescent="0.25">
      <c r="A48" s="40">
        <v>9.6000000000000002E-4</v>
      </c>
      <c r="B48" s="40">
        <v>1.3933</v>
      </c>
      <c r="E48" s="2">
        <f t="shared" si="1"/>
        <v>1.3946102383627546</v>
      </c>
      <c r="F48">
        <f t="shared" si="0"/>
        <v>-1.3102383627545677E-3</v>
      </c>
      <c r="H48" s="1"/>
    </row>
    <row r="49" spans="1:8" x14ac:dyDescent="0.25">
      <c r="A49" s="40">
        <v>1.024E-3</v>
      </c>
      <c r="B49" s="40">
        <v>1.40086</v>
      </c>
      <c r="E49" s="2">
        <f t="shared" si="1"/>
        <v>1.394156942632931</v>
      </c>
      <c r="F49">
        <f t="shared" si="0"/>
        <v>6.7030573670689986E-3</v>
      </c>
      <c r="H49" s="1"/>
    </row>
    <row r="50" spans="1:8" x14ac:dyDescent="0.25">
      <c r="A50" s="40">
        <v>1.152E-3</v>
      </c>
      <c r="B50" s="40">
        <v>1.3955</v>
      </c>
      <c r="E50" s="2">
        <f t="shared" si="1"/>
        <v>1.3933268193936161</v>
      </c>
      <c r="F50">
        <f t="shared" si="0"/>
        <v>2.1731806063838288E-3</v>
      </c>
      <c r="H50" s="1"/>
    </row>
    <row r="51" spans="1:8" x14ac:dyDescent="0.25">
      <c r="A51" s="40">
        <v>1.2800000000000001E-3</v>
      </c>
      <c r="B51" s="40">
        <v>1.3929</v>
      </c>
      <c r="E51" s="2">
        <f t="shared" si="1"/>
        <v>1.3925752869392389</v>
      </c>
      <c r="F51">
        <f t="shared" si="0"/>
        <v>3.2471306076109485E-4</v>
      </c>
      <c r="H51" s="1"/>
    </row>
    <row r="52" spans="1:8" x14ac:dyDescent="0.25">
      <c r="A52" s="40">
        <v>1.408E-3</v>
      </c>
      <c r="B52" s="40">
        <v>1.3935900000000001</v>
      </c>
      <c r="E52" s="2">
        <f t="shared" si="1"/>
        <v>1.3918818841107514</v>
      </c>
      <c r="F52">
        <f t="shared" si="0"/>
        <v>1.7081158892486847E-3</v>
      </c>
      <c r="H52" s="1"/>
    </row>
    <row r="53" spans="1:8" x14ac:dyDescent="0.25">
      <c r="A53" s="40">
        <v>1.536E-3</v>
      </c>
      <c r="B53" s="40">
        <v>1.3863799999999999</v>
      </c>
      <c r="E53" s="2">
        <f t="shared" si="1"/>
        <v>1.3912323830459536</v>
      </c>
      <c r="F53">
        <f t="shared" si="0"/>
        <v>-4.852383045953701E-3</v>
      </c>
      <c r="H53" s="1"/>
    </row>
    <row r="54" spans="1:8" x14ac:dyDescent="0.25">
      <c r="A54" s="40">
        <v>1.6639999999999999E-3</v>
      </c>
      <c r="B54" s="40">
        <v>1.39253</v>
      </c>
      <c r="E54" s="2">
        <f t="shared" si="1"/>
        <v>1.3906168608042218</v>
      </c>
      <c r="F54">
        <f t="shared" si="0"/>
        <v>1.9131391957782906E-3</v>
      </c>
      <c r="H54" s="1"/>
    </row>
    <row r="55" spans="1:8" x14ac:dyDescent="0.25">
      <c r="A55" s="40">
        <v>1.792E-3</v>
      </c>
      <c r="B55" s="40">
        <v>1.3883099999999999</v>
      </c>
      <c r="E55" s="2">
        <f t="shared" si="1"/>
        <v>1.3900283683955359</v>
      </c>
      <c r="F55">
        <f t="shared" si="0"/>
        <v>-1.718368395535963E-3</v>
      </c>
      <c r="H55" s="1"/>
    </row>
    <row r="56" spans="1:8" x14ac:dyDescent="0.25">
      <c r="A56" s="40">
        <v>1.92E-3</v>
      </c>
      <c r="B56" s="40">
        <v>1.39106</v>
      </c>
      <c r="E56" s="2">
        <f t="shared" si="1"/>
        <v>1.3894620121166992</v>
      </c>
      <c r="F56">
        <f t="shared" si="0"/>
        <v>1.5979878833007888E-3</v>
      </c>
      <c r="H56" s="1"/>
    </row>
    <row r="57" spans="1:8" x14ac:dyDescent="0.25">
      <c r="A57" s="40">
        <v>2.0479999999999999E-3</v>
      </c>
      <c r="B57" s="40">
        <v>1.38748</v>
      </c>
      <c r="E57" s="2">
        <f t="shared" si="1"/>
        <v>1.3889143194480393</v>
      </c>
      <c r="F57">
        <f t="shared" si="0"/>
        <v>-1.4343194480392896E-3</v>
      </c>
      <c r="H57" s="1"/>
    </row>
    <row r="58" spans="1:8" x14ac:dyDescent="0.25">
      <c r="A58" s="40">
        <v>2.3040000000000001E-3</v>
      </c>
      <c r="B58" s="40">
        <v>1.38923</v>
      </c>
      <c r="E58" s="2">
        <f t="shared" si="1"/>
        <v>1.3878656500746578</v>
      </c>
      <c r="F58">
        <f t="shared" si="0"/>
        <v>1.3643499253421787E-3</v>
      </c>
      <c r="H58" s="1"/>
    </row>
    <row r="59" spans="1:8" x14ac:dyDescent="0.25">
      <c r="A59" s="40">
        <v>2.5600000000000002E-3</v>
      </c>
      <c r="B59" s="40">
        <v>1.38812</v>
      </c>
      <c r="E59" s="2">
        <f t="shared" si="1"/>
        <v>1.3868694365623859</v>
      </c>
      <c r="F59">
        <f t="shared" si="0"/>
        <v>1.2505634376140939E-3</v>
      </c>
      <c r="H59" s="1"/>
    </row>
    <row r="60" spans="1:8" x14ac:dyDescent="0.25">
      <c r="A60" s="40">
        <v>2.8159999999999999E-3</v>
      </c>
      <c r="B60" s="40">
        <v>1.38626</v>
      </c>
      <c r="E60" s="2">
        <f t="shared" si="1"/>
        <v>1.3859183763982381</v>
      </c>
      <c r="F60">
        <f t="shared" si="0"/>
        <v>3.4162360176193118E-4</v>
      </c>
      <c r="H60" s="1"/>
    </row>
    <row r="61" spans="1:8" x14ac:dyDescent="0.25">
      <c r="A61" s="40">
        <v>3.0720000000000001E-3</v>
      </c>
      <c r="B61" s="40">
        <v>1.3854599999999999</v>
      </c>
      <c r="E61" s="2">
        <f t="shared" si="1"/>
        <v>1.3850079070844499</v>
      </c>
      <c r="F61">
        <f t="shared" si="0"/>
        <v>4.5209291555003972E-4</v>
      </c>
      <c r="H61" s="1"/>
    </row>
    <row r="62" spans="1:8" x14ac:dyDescent="0.25">
      <c r="A62" s="40">
        <v>3.3279999999999998E-3</v>
      </c>
      <c r="B62" s="40">
        <v>1.38117</v>
      </c>
      <c r="E62" s="2">
        <f t="shared" si="1"/>
        <v>1.3841348303482481</v>
      </c>
      <c r="F62">
        <f t="shared" si="0"/>
        <v>-2.9648303482481264E-3</v>
      </c>
      <c r="H62" s="1"/>
    </row>
    <row r="63" spans="1:8" x14ac:dyDescent="0.25">
      <c r="A63" s="40">
        <v>3.5839999999999999E-3</v>
      </c>
      <c r="B63" s="40">
        <v>1.38167</v>
      </c>
      <c r="E63" s="2">
        <f t="shared" si="1"/>
        <v>1.3832966535937627</v>
      </c>
      <c r="F63">
        <f t="shared" si="0"/>
        <v>-1.6266535937627946E-3</v>
      </c>
      <c r="H63" s="1"/>
    </row>
    <row r="64" spans="1:8" x14ac:dyDescent="0.25">
      <c r="A64" s="40">
        <v>3.8400000000000001E-3</v>
      </c>
      <c r="B64" s="40">
        <v>1.3829100000000001</v>
      </c>
      <c r="E64" s="2">
        <f t="shared" si="1"/>
        <v>1.3824912731702004</v>
      </c>
      <c r="F64">
        <f t="shared" si="0"/>
        <v>4.1872682979970932E-4</v>
      </c>
      <c r="H64" s="1"/>
    </row>
    <row r="65" spans="1:8" x14ac:dyDescent="0.25">
      <c r="A65" s="40">
        <v>4.0959999999999998E-3</v>
      </c>
      <c r="B65" s="40">
        <v>1.3846700000000001</v>
      </c>
      <c r="E65" s="2">
        <f t="shared" si="1"/>
        <v>1.3817168206221992</v>
      </c>
      <c r="F65">
        <f t="shared" si="0"/>
        <v>2.9531793778008186E-3</v>
      </c>
      <c r="H65" s="1"/>
    </row>
    <row r="66" spans="1:8" x14ac:dyDescent="0.25">
      <c r="A66" s="40">
        <v>4.6080000000000001E-3</v>
      </c>
      <c r="B66" s="40">
        <v>1.3805099999999999</v>
      </c>
      <c r="E66" s="2">
        <f t="shared" si="1"/>
        <v>1.3802539827527611</v>
      </c>
      <c r="F66">
        <f t="shared" ref="F66:F129" si="2">B66-E66</f>
        <v>2.5601724723878228E-4</v>
      </c>
      <c r="H66" s="1"/>
    </row>
    <row r="67" spans="1:8" x14ac:dyDescent="0.25">
      <c r="A67" s="40">
        <v>5.1200000000000004E-3</v>
      </c>
      <c r="B67" s="40">
        <v>1.37843</v>
      </c>
      <c r="E67" s="2">
        <f t="shared" ref="E67:E130" si="3">$D$2+1/$D$3*($D$8/(1+A67/$D$4)/SQRT(1+A67/$D$4/$D$5/$D$5)+(1-$D$8)/(1+A67/$D$6)/SQRT(1+A67/$D$6/$D$7/$D$7))*(1+$D$9*EXP(-A67/$D$10)+$D$11*EXP(-A67/$D$12))</f>
        <v>1.3788957952296903</v>
      </c>
      <c r="F67">
        <f t="shared" si="2"/>
        <v>-4.6579522969025788E-4</v>
      </c>
      <c r="H67" s="1"/>
    </row>
    <row r="68" spans="1:8" x14ac:dyDescent="0.25">
      <c r="A68" s="40">
        <v>5.6319999999999999E-3</v>
      </c>
      <c r="B68" s="40">
        <v>1.3794299999999999</v>
      </c>
      <c r="E68" s="2">
        <f t="shared" si="3"/>
        <v>1.3776313467412071</v>
      </c>
      <c r="F68">
        <f t="shared" si="2"/>
        <v>1.7986532587928039E-3</v>
      </c>
      <c r="H68" s="1"/>
    </row>
    <row r="69" spans="1:8" x14ac:dyDescent="0.25">
      <c r="A69" s="40">
        <v>6.1440000000000002E-3</v>
      </c>
      <c r="B69" s="40">
        <v>1.3733500000000001</v>
      </c>
      <c r="E69" s="2">
        <f t="shared" si="3"/>
        <v>1.3764509105293159</v>
      </c>
      <c r="F69">
        <f t="shared" si="2"/>
        <v>-3.1009105293158257E-3</v>
      </c>
      <c r="H69" s="1"/>
    </row>
    <row r="70" spans="1:8" x14ac:dyDescent="0.25">
      <c r="A70" s="40">
        <v>6.6559999999999996E-3</v>
      </c>
      <c r="B70" s="40">
        <v>1.37479</v>
      </c>
      <c r="E70" s="2">
        <f t="shared" si="3"/>
        <v>1.3753457967123854</v>
      </c>
      <c r="F70">
        <f t="shared" si="2"/>
        <v>-5.5579671238548123E-4</v>
      </c>
      <c r="H70" s="1"/>
    </row>
    <row r="71" spans="1:8" x14ac:dyDescent="0.25">
      <c r="A71" s="40">
        <v>7.1679999999999999E-3</v>
      </c>
      <c r="B71" s="40">
        <v>1.3738600000000001</v>
      </c>
      <c r="E71" s="2">
        <f t="shared" si="3"/>
        <v>1.3743082372573805</v>
      </c>
      <c r="F71">
        <f t="shared" si="2"/>
        <v>-4.4823725738041276E-4</v>
      </c>
      <c r="H71" s="1"/>
    </row>
    <row r="72" spans="1:8" x14ac:dyDescent="0.25">
      <c r="A72" s="40">
        <v>7.6800000000000002E-3</v>
      </c>
      <c r="B72" s="40">
        <v>1.3726799999999999</v>
      </c>
      <c r="E72" s="2">
        <f t="shared" si="3"/>
        <v>1.3733312870165366</v>
      </c>
      <c r="F72">
        <f t="shared" si="2"/>
        <v>-6.5128701653671683E-4</v>
      </c>
      <c r="H72" s="1"/>
    </row>
    <row r="73" spans="1:8" x14ac:dyDescent="0.25">
      <c r="A73" s="40">
        <v>8.1919999999999996E-3</v>
      </c>
      <c r="B73" s="40">
        <v>1.37347</v>
      </c>
      <c r="E73" s="2">
        <f t="shared" si="3"/>
        <v>1.3724087361458457</v>
      </c>
      <c r="F73">
        <f t="shared" si="2"/>
        <v>1.0612638541542818E-3</v>
      </c>
      <c r="H73" s="1"/>
    </row>
    <row r="74" spans="1:8" x14ac:dyDescent="0.25">
      <c r="A74" s="40">
        <v>9.2160000000000002E-3</v>
      </c>
      <c r="B74" s="40">
        <v>1.3712299999999999</v>
      </c>
      <c r="E74" s="2">
        <f t="shared" si="3"/>
        <v>1.3707052094889427</v>
      </c>
      <c r="F74">
        <f t="shared" si="2"/>
        <v>5.2479051105724928E-4</v>
      </c>
      <c r="H74" s="1"/>
    </row>
    <row r="75" spans="1:8" x14ac:dyDescent="0.25">
      <c r="A75" s="40">
        <v>1.0240000000000001E-2</v>
      </c>
      <c r="B75" s="40">
        <v>1.3677999999999999</v>
      </c>
      <c r="E75" s="2">
        <f t="shared" si="3"/>
        <v>1.3691599185660008</v>
      </c>
      <c r="F75">
        <f t="shared" si="2"/>
        <v>-1.3599185660009283E-3</v>
      </c>
      <c r="H75" s="1"/>
    </row>
    <row r="76" spans="1:8" x14ac:dyDescent="0.25">
      <c r="A76" s="40">
        <v>1.1264E-2</v>
      </c>
      <c r="B76" s="40">
        <v>1.36826</v>
      </c>
      <c r="E76" s="2">
        <f t="shared" si="3"/>
        <v>1.3677426828413515</v>
      </c>
      <c r="F76">
        <f t="shared" si="2"/>
        <v>5.1731715864855587E-4</v>
      </c>
      <c r="H76" s="1"/>
    </row>
    <row r="77" spans="1:8" x14ac:dyDescent="0.25">
      <c r="A77" s="40">
        <v>1.2288E-2</v>
      </c>
      <c r="B77" s="40">
        <v>1.36646</v>
      </c>
      <c r="E77" s="2">
        <f t="shared" si="3"/>
        <v>1.3664293614550438</v>
      </c>
      <c r="F77">
        <f t="shared" si="2"/>
        <v>3.0638544956218539E-5</v>
      </c>
      <c r="H77" s="1"/>
    </row>
    <row r="78" spans="1:8" x14ac:dyDescent="0.25">
      <c r="A78" s="40">
        <v>1.3311999999999999E-2</v>
      </c>
      <c r="B78" s="40">
        <v>1.3656299999999999</v>
      </c>
      <c r="E78" s="2">
        <f t="shared" si="3"/>
        <v>1.365200639984284</v>
      </c>
      <c r="F78">
        <f t="shared" si="2"/>
        <v>4.2936001571591831E-4</v>
      </c>
      <c r="H78" s="1"/>
    </row>
    <row r="79" spans="1:8" x14ac:dyDescent="0.25">
      <c r="A79" s="40">
        <v>1.4336E-2</v>
      </c>
      <c r="B79" s="40">
        <v>1.36456</v>
      </c>
      <c r="E79" s="2">
        <f t="shared" si="3"/>
        <v>1.3640410610776963</v>
      </c>
      <c r="F79">
        <f t="shared" si="2"/>
        <v>5.189389223037022E-4</v>
      </c>
      <c r="H79" s="1"/>
    </row>
    <row r="80" spans="1:8" x14ac:dyDescent="0.25">
      <c r="A80" s="40">
        <v>1.536E-2</v>
      </c>
      <c r="B80" s="40">
        <v>1.3626499999999999</v>
      </c>
      <c r="E80" s="2">
        <f t="shared" si="3"/>
        <v>1.3629382499228333</v>
      </c>
      <c r="F80">
        <f t="shared" si="2"/>
        <v>-2.8824992283338347E-4</v>
      </c>
      <c r="H80" s="1"/>
    </row>
    <row r="81" spans="1:8" x14ac:dyDescent="0.25">
      <c r="A81" s="40">
        <v>1.6383999999999999E-2</v>
      </c>
      <c r="B81" s="40">
        <v>1.3623000000000001</v>
      </c>
      <c r="E81" s="2">
        <f t="shared" si="3"/>
        <v>1.3618822953723877</v>
      </c>
      <c r="F81">
        <f t="shared" si="2"/>
        <v>4.1770462761236971E-4</v>
      </c>
      <c r="H81" s="1"/>
    </row>
    <row r="82" spans="1:8" x14ac:dyDescent="0.25">
      <c r="A82" s="40">
        <v>1.8432E-2</v>
      </c>
      <c r="B82" s="40">
        <v>1.36083</v>
      </c>
      <c r="E82" s="2">
        <f t="shared" si="3"/>
        <v>1.3598807621233049</v>
      </c>
      <c r="F82">
        <f t="shared" si="2"/>
        <v>9.4923787669509707E-4</v>
      </c>
      <c r="H82" s="1"/>
    </row>
    <row r="83" spans="1:8" x14ac:dyDescent="0.25">
      <c r="A83" s="40">
        <v>2.0480000000000002E-2</v>
      </c>
      <c r="B83" s="40">
        <v>1.3589899999999999</v>
      </c>
      <c r="E83" s="2">
        <f t="shared" si="3"/>
        <v>1.3579899823693251</v>
      </c>
      <c r="F83">
        <f t="shared" si="2"/>
        <v>1.0000176306748099E-3</v>
      </c>
      <c r="H83" s="1"/>
    </row>
    <row r="84" spans="1:8" x14ac:dyDescent="0.25">
      <c r="A84" s="40">
        <v>2.2527999999999999E-2</v>
      </c>
      <c r="B84" s="40">
        <v>1.35639</v>
      </c>
      <c r="E84" s="2">
        <f t="shared" si="3"/>
        <v>1.3561799799751613</v>
      </c>
      <c r="F84">
        <f t="shared" si="2"/>
        <v>2.1002002483871962E-4</v>
      </c>
      <c r="H84" s="1"/>
    </row>
    <row r="85" spans="1:8" x14ac:dyDescent="0.25">
      <c r="A85" s="40">
        <v>2.4576000000000001E-2</v>
      </c>
      <c r="B85" s="40">
        <v>1.3551</v>
      </c>
      <c r="E85" s="2">
        <f t="shared" si="3"/>
        <v>1.354431329569715</v>
      </c>
      <c r="F85">
        <f t="shared" si="2"/>
        <v>6.6867043028495665E-4</v>
      </c>
      <c r="H85" s="1"/>
    </row>
    <row r="86" spans="1:8" x14ac:dyDescent="0.25">
      <c r="A86" s="40">
        <v>2.6623999999999998E-2</v>
      </c>
      <c r="B86" s="40">
        <v>1.35253</v>
      </c>
      <c r="E86" s="2">
        <f t="shared" si="3"/>
        <v>1.3527313550800475</v>
      </c>
      <c r="F86">
        <f t="shared" si="2"/>
        <v>-2.0135508004748282E-4</v>
      </c>
      <c r="H86" s="1"/>
    </row>
    <row r="87" spans="1:8" x14ac:dyDescent="0.25">
      <c r="A87" s="40">
        <v>2.8672E-2</v>
      </c>
      <c r="B87" s="40">
        <v>1.35188</v>
      </c>
      <c r="E87" s="2">
        <f t="shared" si="3"/>
        <v>1.3510717014724463</v>
      </c>
      <c r="F87">
        <f t="shared" si="2"/>
        <v>8.0829852755370801E-4</v>
      </c>
      <c r="H87" s="1"/>
    </row>
    <row r="88" spans="1:8" x14ac:dyDescent="0.25">
      <c r="A88" s="40">
        <v>3.0720000000000001E-2</v>
      </c>
      <c r="B88" s="40">
        <v>1.3493599999999999</v>
      </c>
      <c r="E88" s="2">
        <f t="shared" si="3"/>
        <v>1.3494467833966963</v>
      </c>
      <c r="F88">
        <f t="shared" si="2"/>
        <v>-8.6783396696432646E-5</v>
      </c>
      <c r="H88" s="1"/>
    </row>
    <row r="89" spans="1:8" x14ac:dyDescent="0.25">
      <c r="A89" s="40">
        <v>3.2767999999999999E-2</v>
      </c>
      <c r="B89" s="40">
        <v>1.34771</v>
      </c>
      <c r="E89" s="2">
        <f t="shared" si="3"/>
        <v>1.3478527938543337</v>
      </c>
      <c r="F89">
        <f t="shared" si="2"/>
        <v>-1.427938543336893E-4</v>
      </c>
      <c r="H89" s="1"/>
    </row>
    <row r="90" spans="1:8" x14ac:dyDescent="0.25">
      <c r="A90" s="40">
        <v>3.6864000000000001E-2</v>
      </c>
      <c r="B90" s="40">
        <v>1.3456999999999999</v>
      </c>
      <c r="E90" s="2">
        <f t="shared" si="3"/>
        <v>1.3447476907426075</v>
      </c>
      <c r="F90">
        <f t="shared" si="2"/>
        <v>9.5230925739242522E-4</v>
      </c>
      <c r="H90" s="1"/>
    </row>
    <row r="91" spans="1:8" x14ac:dyDescent="0.25">
      <c r="A91" s="40">
        <v>4.0960000000000003E-2</v>
      </c>
      <c r="B91" s="40">
        <v>1.3417300000000001</v>
      </c>
      <c r="E91" s="2">
        <f t="shared" si="3"/>
        <v>1.34174250629317</v>
      </c>
      <c r="F91">
        <f t="shared" si="2"/>
        <v>-1.2506293169955995E-5</v>
      </c>
      <c r="H91" s="1"/>
    </row>
    <row r="92" spans="1:8" x14ac:dyDescent="0.25">
      <c r="A92" s="40">
        <v>4.5055999999999999E-2</v>
      </c>
      <c r="B92" s="40">
        <v>1.33934</v>
      </c>
      <c r="E92" s="2">
        <f t="shared" si="3"/>
        <v>1.338828873698495</v>
      </c>
      <c r="F92">
        <f t="shared" si="2"/>
        <v>5.1112630150496052E-4</v>
      </c>
      <c r="H92" s="1"/>
    </row>
    <row r="93" spans="1:8" x14ac:dyDescent="0.25">
      <c r="A93" s="40">
        <v>4.9152000000000001E-2</v>
      </c>
      <c r="B93" s="40">
        <v>1.3365499999999999</v>
      </c>
      <c r="E93" s="2">
        <f t="shared" si="3"/>
        <v>1.3360008621135835</v>
      </c>
      <c r="F93">
        <f t="shared" si="2"/>
        <v>5.4913788641641759E-4</v>
      </c>
      <c r="H93" s="1"/>
    </row>
    <row r="94" spans="1:8" x14ac:dyDescent="0.25">
      <c r="A94" s="40">
        <v>5.3247999999999997E-2</v>
      </c>
      <c r="B94" s="40">
        <v>1.3331900000000001</v>
      </c>
      <c r="E94" s="2">
        <f t="shared" si="3"/>
        <v>1.3332537025949118</v>
      </c>
      <c r="F94">
        <f t="shared" si="2"/>
        <v>-6.3702594911729804E-5</v>
      </c>
      <c r="H94" s="1"/>
    </row>
    <row r="95" spans="1:8" x14ac:dyDescent="0.25">
      <c r="A95" s="40">
        <v>5.7343999999999999E-2</v>
      </c>
      <c r="B95" s="40">
        <v>1.3309299999999999</v>
      </c>
      <c r="E95" s="2">
        <f t="shared" si="3"/>
        <v>1.3305832540801443</v>
      </c>
      <c r="F95">
        <f t="shared" si="2"/>
        <v>3.4674591985561776E-4</v>
      </c>
      <c r="H95" s="1"/>
    </row>
    <row r="96" spans="1:8" x14ac:dyDescent="0.25">
      <c r="A96" s="40">
        <v>6.1440000000000002E-2</v>
      </c>
      <c r="B96" s="40">
        <v>1.3269899999999999</v>
      </c>
      <c r="E96" s="2">
        <f t="shared" si="3"/>
        <v>1.3279857728929765</v>
      </c>
      <c r="F96">
        <f t="shared" si="2"/>
        <v>-9.9577289297658744E-4</v>
      </c>
      <c r="H96" s="1"/>
    </row>
    <row r="97" spans="1:8" x14ac:dyDescent="0.25">
      <c r="A97" s="40">
        <v>6.5535999999999997E-2</v>
      </c>
      <c r="B97" s="40">
        <v>1.3250999999999999</v>
      </c>
      <c r="E97" s="2">
        <f t="shared" si="3"/>
        <v>1.3254578073988643</v>
      </c>
      <c r="F97">
        <f t="shared" si="2"/>
        <v>-3.5780739886437374E-4</v>
      </c>
      <c r="H97" s="1"/>
    </row>
    <row r="98" spans="1:8" x14ac:dyDescent="0.25">
      <c r="A98" s="40">
        <v>7.3728000000000002E-2</v>
      </c>
      <c r="B98" s="40">
        <v>1.3204199999999999</v>
      </c>
      <c r="E98" s="2">
        <f t="shared" si="3"/>
        <v>1.320597780402468</v>
      </c>
      <c r="F98">
        <f t="shared" si="2"/>
        <v>-1.7778040246807514E-4</v>
      </c>
      <c r="H98" s="1"/>
    </row>
    <row r="99" spans="1:8" x14ac:dyDescent="0.25">
      <c r="A99" s="40">
        <v>8.1920000000000007E-2</v>
      </c>
      <c r="B99" s="40">
        <v>1.3152299999999999</v>
      </c>
      <c r="E99" s="2">
        <f t="shared" si="3"/>
        <v>1.3159798453925029</v>
      </c>
      <c r="F99">
        <f t="shared" si="2"/>
        <v>-7.4984539250300131E-4</v>
      </c>
      <c r="H99" s="1"/>
    </row>
    <row r="100" spans="1:8" x14ac:dyDescent="0.25">
      <c r="A100" s="40">
        <v>9.0111999999999998E-2</v>
      </c>
      <c r="B100" s="40">
        <v>1.3112299999999999</v>
      </c>
      <c r="E100" s="2">
        <f t="shared" si="3"/>
        <v>1.3115834296615474</v>
      </c>
      <c r="F100">
        <f t="shared" si="2"/>
        <v>-3.5342966154749966E-4</v>
      </c>
      <c r="H100" s="1"/>
    </row>
    <row r="101" spans="1:8" x14ac:dyDescent="0.25">
      <c r="A101" s="40">
        <v>9.8304000000000002E-2</v>
      </c>
      <c r="B101" s="40">
        <v>1.3071299999999999</v>
      </c>
      <c r="E101" s="2">
        <f t="shared" si="3"/>
        <v>1.3073902966923192</v>
      </c>
      <c r="F101">
        <f t="shared" si="2"/>
        <v>-2.6029669231930619E-4</v>
      </c>
      <c r="H101" s="1"/>
    </row>
    <row r="102" spans="1:8" x14ac:dyDescent="0.25">
      <c r="A102" s="40">
        <v>0.10649599999999999</v>
      </c>
      <c r="B102" s="40">
        <v>1.3027</v>
      </c>
      <c r="E102" s="2">
        <f t="shared" si="3"/>
        <v>1.3033842184270032</v>
      </c>
      <c r="F102">
        <f t="shared" si="2"/>
        <v>-6.8421842700328028E-4</v>
      </c>
      <c r="H102" s="1"/>
    </row>
    <row r="103" spans="1:8" x14ac:dyDescent="0.25">
      <c r="A103" s="40">
        <v>0.114688</v>
      </c>
      <c r="B103" s="40">
        <v>1.2991699999999999</v>
      </c>
      <c r="E103" s="2">
        <f t="shared" si="3"/>
        <v>1.2995507041446539</v>
      </c>
      <c r="F103">
        <f t="shared" si="2"/>
        <v>-3.8070414465396496E-4</v>
      </c>
      <c r="H103" s="1"/>
    </row>
    <row r="104" spans="1:8" x14ac:dyDescent="0.25">
      <c r="A104" s="40">
        <v>0.12288</v>
      </c>
      <c r="B104" s="40">
        <v>1.2952399999999999</v>
      </c>
      <c r="E104" s="2">
        <f t="shared" si="3"/>
        <v>1.2958767726341867</v>
      </c>
      <c r="F104">
        <f t="shared" si="2"/>
        <v>-6.3677263418671082E-4</v>
      </c>
      <c r="H104" s="1"/>
    </row>
    <row r="105" spans="1:8" x14ac:dyDescent="0.25">
      <c r="A105" s="40">
        <v>0.13107199999999999</v>
      </c>
      <c r="B105" s="40">
        <v>1.29152</v>
      </c>
      <c r="E105" s="2">
        <f t="shared" si="3"/>
        <v>1.292350759421331</v>
      </c>
      <c r="F105">
        <f t="shared" si="2"/>
        <v>-8.3075942133103986E-4</v>
      </c>
      <c r="H105" s="1"/>
    </row>
    <row r="106" spans="1:8" x14ac:dyDescent="0.25">
      <c r="A106" s="40">
        <v>0.147456</v>
      </c>
      <c r="B106" s="40">
        <v>1.28525</v>
      </c>
      <c r="E106" s="2">
        <f t="shared" si="3"/>
        <v>1.2857014540770688</v>
      </c>
      <c r="F106">
        <f t="shared" si="2"/>
        <v>-4.5145407706881358E-4</v>
      </c>
      <c r="H106" s="1"/>
    </row>
    <row r="107" spans="1:8" x14ac:dyDescent="0.25">
      <c r="A107" s="40">
        <v>0.16384000000000001</v>
      </c>
      <c r="B107" s="40">
        <v>1.2791999999999999</v>
      </c>
      <c r="E107" s="2">
        <f t="shared" si="3"/>
        <v>1.2795301450965852</v>
      </c>
      <c r="F107">
        <f t="shared" si="2"/>
        <v>-3.3014509658535474E-4</v>
      </c>
      <c r="H107" s="1"/>
    </row>
    <row r="108" spans="1:8" x14ac:dyDescent="0.25">
      <c r="A108" s="40">
        <v>0.180224</v>
      </c>
      <c r="B108" s="40">
        <v>1.27359</v>
      </c>
      <c r="E108" s="2">
        <f t="shared" si="3"/>
        <v>1.2737769331631272</v>
      </c>
      <c r="F108">
        <f t="shared" si="2"/>
        <v>-1.8693316312723418E-4</v>
      </c>
      <c r="H108" s="1"/>
    </row>
    <row r="109" spans="1:8" x14ac:dyDescent="0.25">
      <c r="A109" s="40">
        <v>0.196608</v>
      </c>
      <c r="B109" s="40">
        <v>1.2681</v>
      </c>
      <c r="E109" s="2">
        <f t="shared" si="3"/>
        <v>1.2683919632774667</v>
      </c>
      <c r="F109">
        <f t="shared" si="2"/>
        <v>-2.9196327746672246E-4</v>
      </c>
      <c r="H109" s="1"/>
    </row>
    <row r="110" spans="1:8" x14ac:dyDescent="0.25">
      <c r="A110" s="40">
        <v>0.21299199999999999</v>
      </c>
      <c r="B110" s="40">
        <v>1.26271</v>
      </c>
      <c r="E110" s="2">
        <f t="shared" si="3"/>
        <v>1.2633333847594161</v>
      </c>
      <c r="F110">
        <f t="shared" si="2"/>
        <v>-6.2338475941614568E-4</v>
      </c>
      <c r="H110" s="1"/>
    </row>
    <row r="111" spans="1:8" x14ac:dyDescent="0.25">
      <c r="A111" s="40">
        <v>0.229376</v>
      </c>
      <c r="B111" s="40">
        <v>1.2580100000000001</v>
      </c>
      <c r="E111" s="2">
        <f t="shared" si="3"/>
        <v>1.2585657900039551</v>
      </c>
      <c r="F111">
        <f t="shared" si="2"/>
        <v>-5.5579000395500344E-4</v>
      </c>
      <c r="H111" s="1"/>
    </row>
    <row r="112" spans="1:8" x14ac:dyDescent="0.25">
      <c r="A112" s="40">
        <v>0.24576000000000001</v>
      </c>
      <c r="B112" s="40">
        <v>1.2537400000000001</v>
      </c>
      <c r="E112" s="2">
        <f t="shared" si="3"/>
        <v>1.2540590057877881</v>
      </c>
      <c r="F112">
        <f t="shared" si="2"/>
        <v>-3.1900578778798483E-4</v>
      </c>
      <c r="H112" s="1"/>
    </row>
    <row r="113" spans="1:8" x14ac:dyDescent="0.25">
      <c r="A113" s="40">
        <v>0.26214399999999999</v>
      </c>
      <c r="B113" s="40">
        <v>1.2495099999999999</v>
      </c>
      <c r="E113" s="2">
        <f t="shared" si="3"/>
        <v>1.2497871475672453</v>
      </c>
      <c r="F113">
        <f t="shared" si="2"/>
        <v>-2.7714756724539491E-4</v>
      </c>
      <c r="H113" s="1"/>
    </row>
    <row r="114" spans="1:8" x14ac:dyDescent="0.25">
      <c r="A114" s="40">
        <v>0.29491200000000001</v>
      </c>
      <c r="B114" s="40">
        <v>1.2414000000000001</v>
      </c>
      <c r="E114" s="2">
        <f t="shared" si="3"/>
        <v>1.2418617827908578</v>
      </c>
      <c r="F114">
        <f t="shared" si="2"/>
        <v>-4.6178279085773433E-4</v>
      </c>
      <c r="H114" s="1"/>
    </row>
    <row r="115" spans="1:8" x14ac:dyDescent="0.25">
      <c r="A115" s="40">
        <v>0.32768000000000003</v>
      </c>
      <c r="B115" s="40">
        <v>1.2340800000000001</v>
      </c>
      <c r="E115" s="2">
        <f t="shared" si="3"/>
        <v>1.2346435191792544</v>
      </c>
      <c r="F115">
        <f t="shared" si="2"/>
        <v>-5.6351917925434591E-4</v>
      </c>
      <c r="H115" s="1"/>
    </row>
    <row r="116" spans="1:8" x14ac:dyDescent="0.25">
      <c r="A116" s="40">
        <v>0.36044799999999999</v>
      </c>
      <c r="B116" s="40">
        <v>1.2275499999999999</v>
      </c>
      <c r="E116" s="2">
        <f t="shared" si="3"/>
        <v>1.2280200202375373</v>
      </c>
      <c r="F116">
        <f t="shared" si="2"/>
        <v>-4.7002023753739408E-4</v>
      </c>
      <c r="H116" s="1"/>
    </row>
    <row r="117" spans="1:8" x14ac:dyDescent="0.25">
      <c r="A117" s="40">
        <v>0.39321600000000001</v>
      </c>
      <c r="B117" s="40">
        <v>1.2210399999999999</v>
      </c>
      <c r="E117" s="2">
        <f t="shared" si="3"/>
        <v>1.221903349650181</v>
      </c>
      <c r="F117">
        <f t="shared" si="2"/>
        <v>-8.6334965018108889E-4</v>
      </c>
      <c r="H117" s="1"/>
    </row>
    <row r="118" spans="1:8" x14ac:dyDescent="0.25">
      <c r="A118" s="40">
        <v>0.42598399999999997</v>
      </c>
      <c r="B118" s="40">
        <v>1.2157800000000001</v>
      </c>
      <c r="E118" s="2">
        <f t="shared" si="3"/>
        <v>1.2162235408443276</v>
      </c>
      <c r="F118">
        <f t="shared" si="2"/>
        <v>-4.4354084432751684E-4</v>
      </c>
      <c r="H118" s="1"/>
    </row>
    <row r="119" spans="1:8" x14ac:dyDescent="0.25">
      <c r="A119" s="40">
        <v>0.45875199999999999</v>
      </c>
      <c r="B119" s="40">
        <v>1.2105399999999999</v>
      </c>
      <c r="E119" s="2">
        <f t="shared" si="3"/>
        <v>1.2109241114610667</v>
      </c>
      <c r="F119">
        <f t="shared" si="2"/>
        <v>-3.8411146106676064E-4</v>
      </c>
      <c r="H119" s="1"/>
    </row>
    <row r="120" spans="1:8" x14ac:dyDescent="0.25">
      <c r="A120" s="40">
        <v>0.49152000000000001</v>
      </c>
      <c r="B120" s="40">
        <v>1.20556</v>
      </c>
      <c r="E120" s="2">
        <f t="shared" si="3"/>
        <v>1.2059588680649527</v>
      </c>
      <c r="F120">
        <f t="shared" si="2"/>
        <v>-3.9886806495270655E-4</v>
      </c>
      <c r="H120" s="1"/>
    </row>
    <row r="121" spans="1:8" x14ac:dyDescent="0.25">
      <c r="A121" s="40">
        <v>0.52428799999999998</v>
      </c>
      <c r="B121" s="40">
        <v>1.20119</v>
      </c>
      <c r="E121" s="2">
        <f t="shared" si="3"/>
        <v>1.2012895868635618</v>
      </c>
      <c r="F121">
        <f t="shared" si="2"/>
        <v>-9.9586863561818006E-5</v>
      </c>
      <c r="H121" s="1"/>
    </row>
    <row r="122" spans="1:8" x14ac:dyDescent="0.25">
      <c r="A122" s="40">
        <v>0.58982400000000001</v>
      </c>
      <c r="B122" s="40">
        <v>1.19292</v>
      </c>
      <c r="E122" s="2">
        <f t="shared" si="3"/>
        <v>1.192716020546029</v>
      </c>
      <c r="F122">
        <f t="shared" si="2"/>
        <v>2.0397945397099271E-4</v>
      </c>
      <c r="H122" s="1"/>
    </row>
    <row r="123" spans="1:8" x14ac:dyDescent="0.25">
      <c r="A123" s="40">
        <v>0.65536000000000005</v>
      </c>
      <c r="B123" s="40">
        <v>1.18519</v>
      </c>
      <c r="E123" s="2">
        <f t="shared" si="3"/>
        <v>1.1850017480076782</v>
      </c>
      <c r="F123">
        <f t="shared" si="2"/>
        <v>1.8825199232175294E-4</v>
      </c>
      <c r="H123" s="1"/>
    </row>
    <row r="124" spans="1:8" x14ac:dyDescent="0.25">
      <c r="A124" s="40">
        <v>0.72089599999999998</v>
      </c>
      <c r="B124" s="40">
        <v>1.1784399999999999</v>
      </c>
      <c r="E124" s="2">
        <f t="shared" si="3"/>
        <v>1.1779984256913534</v>
      </c>
      <c r="F124">
        <f t="shared" si="2"/>
        <v>4.4157430864655289E-4</v>
      </c>
      <c r="H124" s="1"/>
    </row>
    <row r="125" spans="1:8" x14ac:dyDescent="0.25">
      <c r="A125" s="40">
        <v>0.78643200000000002</v>
      </c>
      <c r="B125" s="40">
        <v>1.1722900000000001</v>
      </c>
      <c r="E125" s="2">
        <f t="shared" si="3"/>
        <v>1.1715937348830494</v>
      </c>
      <c r="F125">
        <f t="shared" si="2"/>
        <v>6.9626511695064508E-4</v>
      </c>
      <c r="H125" s="1"/>
    </row>
    <row r="126" spans="1:8" x14ac:dyDescent="0.25">
      <c r="A126" s="40">
        <v>0.85196799999999995</v>
      </c>
      <c r="B126" s="40">
        <v>1.1665000000000001</v>
      </c>
      <c r="E126" s="2">
        <f t="shared" si="3"/>
        <v>1.1657005253803603</v>
      </c>
      <c r="F126">
        <f t="shared" si="2"/>
        <v>7.9947461963980615E-4</v>
      </c>
      <c r="H126" s="1"/>
    </row>
    <row r="127" spans="1:8" x14ac:dyDescent="0.25">
      <c r="A127" s="40">
        <v>0.91750399999999999</v>
      </c>
      <c r="B127" s="40">
        <v>1.1613800000000001</v>
      </c>
      <c r="E127" s="2">
        <f t="shared" si="3"/>
        <v>1.1602497454521066</v>
      </c>
      <c r="F127">
        <f t="shared" si="2"/>
        <v>1.1302545478935055E-3</v>
      </c>
      <c r="H127" s="1"/>
    </row>
    <row r="128" spans="1:8" x14ac:dyDescent="0.25">
      <c r="A128" s="40">
        <v>0.98304000000000002</v>
      </c>
      <c r="B128" s="40">
        <v>1.1566799999999999</v>
      </c>
      <c r="E128" s="2">
        <f t="shared" si="3"/>
        <v>1.1551856883001412</v>
      </c>
      <c r="F128">
        <f t="shared" si="2"/>
        <v>1.4943116998586969E-3</v>
      </c>
      <c r="H128" s="1"/>
    </row>
    <row r="129" spans="1:8" x14ac:dyDescent="0.25">
      <c r="A129" s="40">
        <v>1.048576</v>
      </c>
      <c r="B129" s="40">
        <v>1.1518699999999999</v>
      </c>
      <c r="E129" s="2">
        <f t="shared" si="3"/>
        <v>1.1504627055367715</v>
      </c>
      <c r="F129">
        <f t="shared" si="2"/>
        <v>1.4072944632284035E-3</v>
      </c>
      <c r="H129" s="1"/>
    </row>
    <row r="130" spans="1:8" x14ac:dyDescent="0.25">
      <c r="A130" s="40">
        <v>1.179648</v>
      </c>
      <c r="B130" s="40">
        <v>1.14307</v>
      </c>
      <c r="E130" s="2">
        <f t="shared" si="3"/>
        <v>1.1418943300461692</v>
      </c>
      <c r="F130">
        <f t="shared" ref="F130:F193" si="4">B130-E130</f>
        <v>1.1756699538307824E-3</v>
      </c>
      <c r="H130" s="1"/>
    </row>
    <row r="131" spans="1:8" x14ac:dyDescent="0.25">
      <c r="A131" s="40">
        <v>1.3107200000000001</v>
      </c>
      <c r="B131" s="40">
        <v>1.13523</v>
      </c>
      <c r="E131" s="2">
        <f t="shared" ref="E131:E194" si="5">$D$2+1/$D$3*($D$8/(1+A131/$D$4)/SQRT(1+A131/$D$4/$D$5/$D$5)+(1-$D$8)/(1+A131/$D$6)/SQRT(1+A131/$D$6/$D$7/$D$7))*(1+$D$9*EXP(-A131/$D$10)+$D$11*EXP(-A131/$D$12))</f>
        <v>1.1343066109730542</v>
      </c>
      <c r="F131">
        <f t="shared" si="4"/>
        <v>9.2338902694577563E-4</v>
      </c>
      <c r="H131" s="1"/>
    </row>
    <row r="132" spans="1:8" x14ac:dyDescent="0.25">
      <c r="A132" s="40">
        <v>1.441792</v>
      </c>
      <c r="B132" s="40">
        <v>1.1283300000000001</v>
      </c>
      <c r="E132" s="2">
        <f t="shared" si="5"/>
        <v>1.1275250926158042</v>
      </c>
      <c r="F132">
        <f t="shared" si="4"/>
        <v>8.0490738419580765E-4</v>
      </c>
      <c r="H132" s="1"/>
    </row>
    <row r="133" spans="1:8" x14ac:dyDescent="0.25">
      <c r="A133" s="40">
        <v>1.572864</v>
      </c>
      <c r="B133" s="40">
        <v>1.1221300000000001</v>
      </c>
      <c r="E133" s="2">
        <f t="shared" si="5"/>
        <v>1.1214177172484321</v>
      </c>
      <c r="F133">
        <f t="shared" si="4"/>
        <v>7.1228275156798304E-4</v>
      </c>
      <c r="H133" s="1"/>
    </row>
    <row r="134" spans="1:8" x14ac:dyDescent="0.25">
      <c r="A134" s="40">
        <v>1.7039359999999999</v>
      </c>
      <c r="B134" s="40">
        <v>1.1166700000000001</v>
      </c>
      <c r="E134" s="2">
        <f t="shared" si="5"/>
        <v>1.1158819075100774</v>
      </c>
      <c r="F134">
        <f t="shared" si="4"/>
        <v>7.8809248992262049E-4</v>
      </c>
      <c r="H134" s="1"/>
    </row>
    <row r="135" spans="1:8" x14ac:dyDescent="0.25">
      <c r="A135" s="40">
        <v>1.835008</v>
      </c>
      <c r="B135" s="40">
        <v>1.11178</v>
      </c>
      <c r="E135" s="2">
        <f t="shared" si="5"/>
        <v>1.1108362900029725</v>
      </c>
      <c r="F135">
        <f t="shared" si="4"/>
        <v>9.4370999702753089E-4</v>
      </c>
      <c r="H135" s="1"/>
    </row>
    <row r="136" spans="1:8" x14ac:dyDescent="0.25">
      <c r="A136" s="40">
        <v>1.96608</v>
      </c>
      <c r="B136" s="40">
        <v>1.1075299999999999</v>
      </c>
      <c r="E136" s="2">
        <f t="shared" si="5"/>
        <v>1.1062151756999401</v>
      </c>
      <c r="F136">
        <f t="shared" si="4"/>
        <v>1.3148243000598026E-3</v>
      </c>
      <c r="H136" s="1"/>
    </row>
    <row r="137" spans="1:8" x14ac:dyDescent="0.25">
      <c r="A137" s="40">
        <v>2.0971519999999999</v>
      </c>
      <c r="B137" s="40">
        <v>1.10304</v>
      </c>
      <c r="E137" s="2">
        <f t="shared" si="5"/>
        <v>1.1019647525233245</v>
      </c>
      <c r="F137">
        <f t="shared" si="4"/>
        <v>1.0752474766755338E-3</v>
      </c>
      <c r="H137" s="1"/>
    </row>
    <row r="138" spans="1:8" x14ac:dyDescent="0.25">
      <c r="A138" s="40">
        <v>2.3592960000000001</v>
      </c>
      <c r="B138" s="40">
        <v>1.0951</v>
      </c>
      <c r="E138" s="2">
        <f t="shared" si="5"/>
        <v>1.0944046358378854</v>
      </c>
      <c r="F138">
        <f t="shared" si="4"/>
        <v>6.9536416211457563E-4</v>
      </c>
      <c r="H138" s="1"/>
    </row>
    <row r="139" spans="1:8" x14ac:dyDescent="0.25">
      <c r="A139" s="40">
        <v>2.6214400000000002</v>
      </c>
      <c r="B139" s="40">
        <v>1.08806</v>
      </c>
      <c r="E139" s="2">
        <f t="shared" si="5"/>
        <v>1.08787691930327</v>
      </c>
      <c r="F139">
        <f t="shared" si="4"/>
        <v>1.8308069673000915E-4</v>
      </c>
      <c r="H139" s="1"/>
    </row>
    <row r="140" spans="1:8" x14ac:dyDescent="0.25">
      <c r="A140" s="40">
        <v>2.8835839999999999</v>
      </c>
      <c r="B140" s="40">
        <v>1.0824100000000001</v>
      </c>
      <c r="E140" s="2">
        <f t="shared" si="5"/>
        <v>1.0821789066338088</v>
      </c>
      <c r="F140">
        <f t="shared" si="4"/>
        <v>2.3109336619131504E-4</v>
      </c>
      <c r="H140" s="1"/>
    </row>
    <row r="141" spans="1:8" x14ac:dyDescent="0.25">
      <c r="A141" s="40">
        <v>3.1457280000000001</v>
      </c>
      <c r="B141" s="40">
        <v>1.07755</v>
      </c>
      <c r="E141" s="2">
        <f t="shared" si="5"/>
        <v>1.0771590466052179</v>
      </c>
      <c r="F141">
        <f t="shared" si="4"/>
        <v>3.909533947821231E-4</v>
      </c>
      <c r="H141" s="1"/>
    </row>
    <row r="142" spans="1:8" x14ac:dyDescent="0.25">
      <c r="A142" s="40">
        <v>3.4078719999999998</v>
      </c>
      <c r="B142" s="40">
        <v>1.0729</v>
      </c>
      <c r="E142" s="2">
        <f t="shared" si="5"/>
        <v>1.0727013584779219</v>
      </c>
      <c r="F142">
        <f t="shared" si="4"/>
        <v>1.9864152207804686E-4</v>
      </c>
      <c r="H142" s="1"/>
    </row>
    <row r="143" spans="1:8" x14ac:dyDescent="0.25">
      <c r="A143" s="40">
        <v>3.6700159999999999</v>
      </c>
      <c r="B143" s="40">
        <v>1.0684800000000001</v>
      </c>
      <c r="E143" s="2">
        <f t="shared" si="5"/>
        <v>1.068715351850805</v>
      </c>
      <c r="F143">
        <f t="shared" si="4"/>
        <v>-2.3535185080492127E-4</v>
      </c>
      <c r="H143" s="1"/>
    </row>
    <row r="144" spans="1:8" x14ac:dyDescent="0.25">
      <c r="A144" s="40">
        <v>3.9321600000000001</v>
      </c>
      <c r="B144" s="40">
        <v>1.06473</v>
      </c>
      <c r="E144" s="2">
        <f t="shared" si="5"/>
        <v>1.0651292599065558</v>
      </c>
      <c r="F144">
        <f t="shared" si="4"/>
        <v>-3.9925990655587107E-4</v>
      </c>
      <c r="H144" s="1"/>
    </row>
    <row r="145" spans="1:8" x14ac:dyDescent="0.25">
      <c r="A145" s="40">
        <v>4.1943039999999998</v>
      </c>
      <c r="B145" s="40">
        <v>1.0612999999999999</v>
      </c>
      <c r="E145" s="2">
        <f t="shared" si="5"/>
        <v>1.0618853580787944</v>
      </c>
      <c r="F145">
        <f t="shared" si="4"/>
        <v>-5.8535807879445123E-4</v>
      </c>
      <c r="H145" s="1"/>
    </row>
    <row r="146" spans="1:8" x14ac:dyDescent="0.25">
      <c r="A146" s="40">
        <v>4.7185920000000001</v>
      </c>
      <c r="B146" s="40">
        <v>1.0554699999999999</v>
      </c>
      <c r="E146" s="2">
        <f t="shared" si="5"/>
        <v>1.0562444216466225</v>
      </c>
      <c r="F146">
        <f t="shared" si="4"/>
        <v>-7.7442164662255841E-4</v>
      </c>
      <c r="H146" s="1"/>
    </row>
    <row r="147" spans="1:8" x14ac:dyDescent="0.25">
      <c r="A147" s="40">
        <v>5.2428800000000004</v>
      </c>
      <c r="B147" s="40">
        <v>1.05063</v>
      </c>
      <c r="E147" s="2">
        <f t="shared" si="5"/>
        <v>1.0515060297043541</v>
      </c>
      <c r="F147">
        <f t="shared" si="4"/>
        <v>-8.7602970435418648E-4</v>
      </c>
      <c r="H147" s="1"/>
    </row>
    <row r="148" spans="1:8" x14ac:dyDescent="0.25">
      <c r="A148" s="40">
        <v>5.7671679999999999</v>
      </c>
      <c r="B148" s="40">
        <v>1.0469599999999999</v>
      </c>
      <c r="E148" s="2">
        <f t="shared" si="5"/>
        <v>1.0474694135583063</v>
      </c>
      <c r="F148">
        <f t="shared" si="4"/>
        <v>-5.094135583063597E-4</v>
      </c>
      <c r="H148" s="1"/>
    </row>
    <row r="149" spans="1:8" x14ac:dyDescent="0.25">
      <c r="A149" s="40">
        <v>6.2914560000000002</v>
      </c>
      <c r="B149" s="40">
        <v>1.0432699999999999</v>
      </c>
      <c r="E149" s="2">
        <f t="shared" si="5"/>
        <v>1.0439895045738734</v>
      </c>
      <c r="F149">
        <f t="shared" si="4"/>
        <v>-7.1950457387348621E-4</v>
      </c>
      <c r="H149" s="1"/>
    </row>
    <row r="150" spans="1:8" x14ac:dyDescent="0.25">
      <c r="A150" s="40">
        <v>6.8157439999999996</v>
      </c>
      <c r="B150" s="40">
        <v>1.0403500000000001</v>
      </c>
      <c r="E150" s="2">
        <f t="shared" si="5"/>
        <v>1.0409587737579566</v>
      </c>
      <c r="F150">
        <f t="shared" si="4"/>
        <v>-6.0877375795653776E-4</v>
      </c>
      <c r="H150" s="1"/>
    </row>
    <row r="151" spans="1:8" x14ac:dyDescent="0.25">
      <c r="A151" s="40">
        <v>7.3400319999999999</v>
      </c>
      <c r="B151" s="40">
        <v>1.0377799999999999</v>
      </c>
      <c r="E151" s="2">
        <f t="shared" si="5"/>
        <v>1.0382957777042048</v>
      </c>
      <c r="F151">
        <f t="shared" si="4"/>
        <v>-5.1577770420485614E-4</v>
      </c>
      <c r="H151" s="1"/>
    </row>
    <row r="152" spans="1:8" x14ac:dyDescent="0.25">
      <c r="A152" s="40">
        <v>7.8643200000000002</v>
      </c>
      <c r="B152" s="40">
        <v>1.03542</v>
      </c>
      <c r="E152" s="2">
        <f t="shared" si="5"/>
        <v>1.0359376747738376</v>
      </c>
      <c r="F152">
        <f t="shared" si="4"/>
        <v>-5.176747738375731E-4</v>
      </c>
      <c r="H152" s="1"/>
    </row>
    <row r="153" spans="1:8" x14ac:dyDescent="0.25">
      <c r="A153" s="40">
        <v>8.3886079999999996</v>
      </c>
      <c r="B153" s="40">
        <v>1.03322</v>
      </c>
      <c r="E153" s="2">
        <f t="shared" si="5"/>
        <v>1.0338351869668365</v>
      </c>
      <c r="F153">
        <f t="shared" si="4"/>
        <v>-6.1518696683648955E-4</v>
      </c>
      <c r="H153" s="1"/>
    </row>
    <row r="154" spans="1:8" x14ac:dyDescent="0.25">
      <c r="A154" s="40">
        <v>9.4371840000000002</v>
      </c>
      <c r="B154" s="40">
        <v>1.0298499999999999</v>
      </c>
      <c r="E154" s="2">
        <f t="shared" si="5"/>
        <v>1.0302479045953166</v>
      </c>
      <c r="F154">
        <f t="shared" si="4"/>
        <v>-3.979045953166338E-4</v>
      </c>
      <c r="H154" s="1"/>
    </row>
    <row r="155" spans="1:8" x14ac:dyDescent="0.25">
      <c r="A155" s="40">
        <v>10.485760000000001</v>
      </c>
      <c r="B155" s="40">
        <v>1.02572</v>
      </c>
      <c r="E155" s="2">
        <f t="shared" si="5"/>
        <v>1.0273017267191691</v>
      </c>
      <c r="F155">
        <f t="shared" si="4"/>
        <v>-1.5817267191691187E-3</v>
      </c>
      <c r="H155" s="1"/>
    </row>
    <row r="156" spans="1:8" x14ac:dyDescent="0.25">
      <c r="A156" s="40">
        <v>11.534336</v>
      </c>
      <c r="B156" s="40">
        <v>1.0226299999999999</v>
      </c>
      <c r="E156" s="2">
        <f t="shared" si="5"/>
        <v>1.0248400417279213</v>
      </c>
      <c r="F156">
        <f t="shared" si="4"/>
        <v>-2.2100417279213858E-3</v>
      </c>
      <c r="H156" s="1"/>
    </row>
    <row r="157" spans="1:8" x14ac:dyDescent="0.25">
      <c r="A157" s="40">
        <v>12.582912</v>
      </c>
      <c r="B157" s="40">
        <v>1.02037</v>
      </c>
      <c r="E157" s="2">
        <f t="shared" si="5"/>
        <v>1.0227533654831351</v>
      </c>
      <c r="F157">
        <f t="shared" si="4"/>
        <v>-2.3833654831351136E-3</v>
      </c>
      <c r="H157" s="1"/>
    </row>
    <row r="158" spans="1:8" x14ac:dyDescent="0.25">
      <c r="A158" s="40">
        <v>13.631487999999999</v>
      </c>
      <c r="B158" s="40">
        <v>1.0188299999999999</v>
      </c>
      <c r="E158" s="2">
        <f t="shared" si="5"/>
        <v>1.0209628491780585</v>
      </c>
      <c r="F158">
        <f t="shared" si="4"/>
        <v>-2.1328491780585601E-3</v>
      </c>
      <c r="H158" s="1"/>
    </row>
    <row r="159" spans="1:8" x14ac:dyDescent="0.25">
      <c r="A159" s="40">
        <v>14.680064</v>
      </c>
      <c r="B159" s="40">
        <v>1.0180800000000001</v>
      </c>
      <c r="E159" s="2">
        <f t="shared" si="5"/>
        <v>1.0194102640986678</v>
      </c>
      <c r="F159">
        <f t="shared" si="4"/>
        <v>-1.330264098667655E-3</v>
      </c>
      <c r="H159" s="1"/>
    </row>
    <row r="160" spans="1:8" x14ac:dyDescent="0.25">
      <c r="A160" s="40">
        <v>15.72864</v>
      </c>
      <c r="B160" s="40">
        <v>1.01715</v>
      </c>
      <c r="E160" s="2">
        <f t="shared" si="5"/>
        <v>1.0180516758774105</v>
      </c>
      <c r="F160">
        <f t="shared" si="4"/>
        <v>-9.016758774105238E-4</v>
      </c>
      <c r="H160" s="1"/>
    </row>
    <row r="161" spans="1:8" x14ac:dyDescent="0.25">
      <c r="A161" s="40">
        <v>16.777215999999999</v>
      </c>
      <c r="B161" s="40">
        <v>1.01579</v>
      </c>
      <c r="E161" s="2">
        <f t="shared" si="5"/>
        <v>1.0168533134106437</v>
      </c>
      <c r="F161">
        <f t="shared" si="4"/>
        <v>-1.0633134106436959E-3</v>
      </c>
      <c r="H161" s="1"/>
    </row>
    <row r="162" spans="1:8" x14ac:dyDescent="0.25">
      <c r="A162" s="40">
        <v>18.874368</v>
      </c>
      <c r="B162" s="40">
        <v>1.01322</v>
      </c>
      <c r="E162" s="2">
        <f t="shared" si="5"/>
        <v>1.014837201458284</v>
      </c>
      <c r="F162">
        <f t="shared" si="4"/>
        <v>-1.6172014582840344E-3</v>
      </c>
      <c r="H162" s="1"/>
    </row>
    <row r="163" spans="1:8" x14ac:dyDescent="0.25">
      <c r="A163" s="40">
        <v>20.971520000000002</v>
      </c>
      <c r="B163" s="40">
        <v>1.0108699999999999</v>
      </c>
      <c r="E163" s="2">
        <f t="shared" si="5"/>
        <v>1.013208823629512</v>
      </c>
      <c r="F163">
        <f t="shared" si="4"/>
        <v>-2.338823629512099E-3</v>
      </c>
      <c r="H163" s="1"/>
    </row>
    <row r="164" spans="1:8" x14ac:dyDescent="0.25">
      <c r="A164" s="40">
        <v>23.068671999999999</v>
      </c>
      <c r="B164" s="40">
        <v>1.0099800000000001</v>
      </c>
      <c r="E164" s="2">
        <f t="shared" si="5"/>
        <v>1.0118677091628174</v>
      </c>
      <c r="F164">
        <f t="shared" si="4"/>
        <v>-1.8877091628173304E-3</v>
      </c>
      <c r="H164" s="1"/>
    </row>
    <row r="165" spans="1:8" x14ac:dyDescent="0.25">
      <c r="A165" s="40">
        <v>25.165824000000001</v>
      </c>
      <c r="B165" s="40">
        <v>1.0087900000000001</v>
      </c>
      <c r="E165" s="2">
        <f t="shared" si="5"/>
        <v>1.0107452137829562</v>
      </c>
      <c r="F165">
        <f t="shared" si="4"/>
        <v>-1.9552137829561556E-3</v>
      </c>
      <c r="H165" s="1"/>
    </row>
    <row r="166" spans="1:8" x14ac:dyDescent="0.25">
      <c r="A166" s="40">
        <v>27.262975999999998</v>
      </c>
      <c r="B166" s="40">
        <v>1.0085900000000001</v>
      </c>
      <c r="E166" s="2">
        <f t="shared" si="5"/>
        <v>1.0097928567958503</v>
      </c>
      <c r="F166">
        <f t="shared" si="4"/>
        <v>-1.2028567958501934E-3</v>
      </c>
      <c r="H166" s="1"/>
    </row>
    <row r="167" spans="1:8" x14ac:dyDescent="0.25">
      <c r="A167" s="40">
        <v>29.360128</v>
      </c>
      <c r="B167" s="40">
        <v>1.0076499999999999</v>
      </c>
      <c r="E167" s="2">
        <f t="shared" si="5"/>
        <v>1.0089754344516864</v>
      </c>
      <c r="F167">
        <f t="shared" si="4"/>
        <v>-1.3254344516864247E-3</v>
      </c>
      <c r="H167" s="1"/>
    </row>
    <row r="168" spans="1:8" x14ac:dyDescent="0.25">
      <c r="A168" s="40">
        <v>31.457280000000001</v>
      </c>
      <c r="B168" s="40">
        <v>1.0078100000000001</v>
      </c>
      <c r="E168" s="2">
        <f t="shared" si="5"/>
        <v>1.0082667737568232</v>
      </c>
      <c r="F168">
        <f t="shared" si="4"/>
        <v>-4.5677375682307009E-4</v>
      </c>
      <c r="H168" s="1"/>
    </row>
    <row r="169" spans="1:8" x14ac:dyDescent="0.25">
      <c r="A169" s="40">
        <v>33.554431999999998</v>
      </c>
      <c r="B169" s="40">
        <v>1.0064599999999999</v>
      </c>
      <c r="E169" s="2">
        <f t="shared" si="5"/>
        <v>1.0076470168338918</v>
      </c>
      <c r="F169">
        <f t="shared" si="4"/>
        <v>-1.1870168338918852E-3</v>
      </c>
      <c r="H169" s="1"/>
    </row>
    <row r="170" spans="1:8" x14ac:dyDescent="0.25">
      <c r="A170" s="40">
        <v>37.748736000000001</v>
      </c>
      <c r="B170" s="40">
        <v>1.0060100000000001</v>
      </c>
      <c r="E170" s="2">
        <f t="shared" si="5"/>
        <v>1.0066161829259643</v>
      </c>
      <c r="F170">
        <f t="shared" si="4"/>
        <v>-6.0618292596426038E-4</v>
      </c>
      <c r="H170" s="1"/>
    </row>
    <row r="171" spans="1:8" x14ac:dyDescent="0.25">
      <c r="A171" s="40">
        <v>41.943040000000003</v>
      </c>
      <c r="B171" s="40">
        <v>1.0062899999999999</v>
      </c>
      <c r="E171" s="2">
        <f t="shared" si="5"/>
        <v>1.0057951317843101</v>
      </c>
      <c r="F171">
        <f t="shared" si="4"/>
        <v>4.9486821568978101E-4</v>
      </c>
      <c r="H171" s="1"/>
    </row>
    <row r="172" spans="1:8" x14ac:dyDescent="0.25">
      <c r="A172" s="40">
        <v>46.137343999999999</v>
      </c>
      <c r="B172" s="40">
        <v>1.0057</v>
      </c>
      <c r="E172" s="2">
        <f t="shared" si="5"/>
        <v>1.0051272712740393</v>
      </c>
      <c r="F172">
        <f t="shared" si="4"/>
        <v>5.7272872596070279E-4</v>
      </c>
      <c r="H172" s="1"/>
    </row>
    <row r="173" spans="1:8" x14ac:dyDescent="0.25">
      <c r="A173" s="40">
        <v>50.331648000000001</v>
      </c>
      <c r="B173" s="40">
        <v>1.0054700000000001</v>
      </c>
      <c r="E173" s="2">
        <f t="shared" si="5"/>
        <v>1.0045745199322873</v>
      </c>
      <c r="F173">
        <f t="shared" si="4"/>
        <v>8.9548006771278388E-4</v>
      </c>
      <c r="H173" s="1"/>
    </row>
    <row r="174" spans="1:8" x14ac:dyDescent="0.25">
      <c r="A174" s="40">
        <v>54.525951999999997</v>
      </c>
      <c r="B174" s="40">
        <v>1.00379</v>
      </c>
      <c r="E174" s="2">
        <f t="shared" si="5"/>
        <v>1.0041103350442551</v>
      </c>
      <c r="F174">
        <f t="shared" si="4"/>
        <v>-3.2033504425510451E-4</v>
      </c>
      <c r="H174" s="1"/>
    </row>
    <row r="175" spans="1:8" x14ac:dyDescent="0.25">
      <c r="A175" s="40">
        <v>58.720255999999999</v>
      </c>
      <c r="B175" s="40">
        <v>1.0027600000000001</v>
      </c>
      <c r="E175" s="2">
        <f t="shared" si="5"/>
        <v>1.0037156666094937</v>
      </c>
      <c r="F175">
        <f t="shared" si="4"/>
        <v>-9.556666094936439E-4</v>
      </c>
      <c r="H175" s="1"/>
    </row>
    <row r="176" spans="1:8" x14ac:dyDescent="0.25">
      <c r="A176" s="40">
        <v>62.914560000000002</v>
      </c>
      <c r="B176" s="40">
        <v>1.0037199999999999</v>
      </c>
      <c r="E176" s="2">
        <f t="shared" si="5"/>
        <v>1.0033764992976202</v>
      </c>
      <c r="F176">
        <f t="shared" si="4"/>
        <v>3.4350070237976205E-4</v>
      </c>
      <c r="H176" s="1"/>
    </row>
    <row r="177" spans="1:8" x14ac:dyDescent="0.25">
      <c r="A177" s="40">
        <v>67.108863999999997</v>
      </c>
      <c r="B177" s="40">
        <v>1.00302</v>
      </c>
      <c r="E177" s="2">
        <f t="shared" si="5"/>
        <v>1.0030823005259144</v>
      </c>
      <c r="F177">
        <f t="shared" si="4"/>
        <v>-6.2300525914382732E-5</v>
      </c>
      <c r="H177" s="1"/>
    </row>
    <row r="178" spans="1:8" x14ac:dyDescent="0.25">
      <c r="A178" s="40">
        <v>75.497472000000002</v>
      </c>
      <c r="B178" s="40">
        <v>1.0037199999999999</v>
      </c>
      <c r="E178" s="2">
        <f t="shared" si="5"/>
        <v>1.0025983496313748</v>
      </c>
      <c r="F178">
        <f t="shared" si="4"/>
        <v>1.1216503686251045E-3</v>
      </c>
      <c r="H178" s="1"/>
    </row>
    <row r="179" spans="1:8" x14ac:dyDescent="0.25">
      <c r="A179" s="40">
        <v>83.886080000000007</v>
      </c>
      <c r="B179" s="40">
        <v>1.0022200000000001</v>
      </c>
      <c r="E179" s="2">
        <f t="shared" si="5"/>
        <v>1.0022181346228931</v>
      </c>
      <c r="F179">
        <f t="shared" si="4"/>
        <v>1.8653771070020753E-6</v>
      </c>
      <c r="H179" s="1"/>
    </row>
    <row r="180" spans="1:8" x14ac:dyDescent="0.25">
      <c r="A180" s="40">
        <v>92.274687999999998</v>
      </c>
      <c r="B180" s="40">
        <v>1.00387</v>
      </c>
      <c r="E180" s="2">
        <f t="shared" si="5"/>
        <v>1.0019126429183518</v>
      </c>
      <c r="F180">
        <f t="shared" si="4"/>
        <v>1.9573570816482366E-3</v>
      </c>
      <c r="H180" s="1"/>
    </row>
    <row r="181" spans="1:8" x14ac:dyDescent="0.25">
      <c r="A181" s="40">
        <v>100.663296</v>
      </c>
      <c r="B181" s="40">
        <v>1.0046299999999999</v>
      </c>
      <c r="E181" s="2">
        <f t="shared" si="5"/>
        <v>1.0016626069851176</v>
      </c>
      <c r="F181">
        <f t="shared" si="4"/>
        <v>2.967393014882358E-3</v>
      </c>
      <c r="H181" s="1"/>
    </row>
    <row r="182" spans="1:8" x14ac:dyDescent="0.25">
      <c r="A182" s="40">
        <v>109.05190399999999</v>
      </c>
      <c r="B182" s="40">
        <v>1.0028900000000001</v>
      </c>
      <c r="E182" s="2">
        <f t="shared" si="5"/>
        <v>1.0014547572607937</v>
      </c>
      <c r="F182">
        <f t="shared" si="4"/>
        <v>1.435242739206366E-3</v>
      </c>
      <c r="H182" s="1"/>
    </row>
    <row r="183" spans="1:8" x14ac:dyDescent="0.25">
      <c r="A183" s="40">
        <v>117.440512</v>
      </c>
      <c r="B183" s="40">
        <v>1.00265</v>
      </c>
      <c r="E183" s="2">
        <f t="shared" si="5"/>
        <v>1.0012796744258954</v>
      </c>
      <c r="F183">
        <f t="shared" si="4"/>
        <v>1.3703255741046583E-3</v>
      </c>
      <c r="H183" s="1"/>
    </row>
    <row r="184" spans="1:8" x14ac:dyDescent="0.25">
      <c r="A184" s="40">
        <v>125.82912</v>
      </c>
      <c r="B184" s="40">
        <v>1.0036099999999999</v>
      </c>
      <c r="E184" s="2">
        <f t="shared" si="5"/>
        <v>1.0011304990934742</v>
      </c>
      <c r="F184">
        <f t="shared" si="4"/>
        <v>2.4795009065257112E-3</v>
      </c>
      <c r="H184" s="1"/>
    </row>
    <row r="185" spans="1:8" x14ac:dyDescent="0.25">
      <c r="A185" s="40">
        <v>134.21772799999999</v>
      </c>
      <c r="B185" s="40">
        <v>1.0020899999999999</v>
      </c>
      <c r="E185" s="2">
        <f t="shared" si="5"/>
        <v>1.0010021254165782</v>
      </c>
      <c r="F185">
        <f t="shared" si="4"/>
        <v>1.087874583421744E-3</v>
      </c>
      <c r="H185" s="1"/>
    </row>
    <row r="186" spans="1:8" x14ac:dyDescent="0.25">
      <c r="A186" s="40">
        <v>150.994944</v>
      </c>
      <c r="B186" s="40">
        <v>1.0018400000000001</v>
      </c>
      <c r="E186" s="2">
        <f t="shared" si="5"/>
        <v>1.0007931746455363</v>
      </c>
      <c r="F186">
        <f t="shared" si="4"/>
        <v>1.0468253544637651E-3</v>
      </c>
      <c r="H186" s="1"/>
    </row>
    <row r="187" spans="1:8" x14ac:dyDescent="0.25">
      <c r="A187" s="40">
        <v>167.77216000000001</v>
      </c>
      <c r="B187" s="40">
        <v>1.0013399999999999</v>
      </c>
      <c r="E187" s="2">
        <f t="shared" si="5"/>
        <v>1.0006311131220371</v>
      </c>
      <c r="F187">
        <f t="shared" si="4"/>
        <v>7.0888687796277772E-4</v>
      </c>
      <c r="H187" s="1"/>
    </row>
    <row r="188" spans="1:8" x14ac:dyDescent="0.25">
      <c r="A188" s="40">
        <v>184.549376</v>
      </c>
      <c r="B188" s="40">
        <v>1.00221</v>
      </c>
      <c r="E188" s="2">
        <f t="shared" si="5"/>
        <v>1.0005023637613883</v>
      </c>
      <c r="F188">
        <f t="shared" si="4"/>
        <v>1.7076362386116983E-3</v>
      </c>
      <c r="H188" s="1"/>
    </row>
    <row r="189" spans="1:8" x14ac:dyDescent="0.25">
      <c r="A189" s="40">
        <v>201.32659200000001</v>
      </c>
      <c r="B189" s="40">
        <v>1.00285</v>
      </c>
      <c r="E189" s="2">
        <f t="shared" si="5"/>
        <v>1.0003980340574021</v>
      </c>
      <c r="F189">
        <f t="shared" si="4"/>
        <v>2.451965942597889E-3</v>
      </c>
      <c r="H189" s="1"/>
    </row>
    <row r="190" spans="1:8" x14ac:dyDescent="0.25">
      <c r="A190" s="40">
        <v>218.10380799999999</v>
      </c>
      <c r="B190" s="40">
        <v>1.0030399999999999</v>
      </c>
      <c r="E190" s="2">
        <f t="shared" si="5"/>
        <v>1.0003120761375779</v>
      </c>
      <c r="F190">
        <f t="shared" si="4"/>
        <v>2.7279238624220437E-3</v>
      </c>
      <c r="H190" s="1"/>
    </row>
    <row r="191" spans="1:8" x14ac:dyDescent="0.25">
      <c r="A191" s="40">
        <v>234.881024</v>
      </c>
      <c r="B191" s="40">
        <v>1.00251</v>
      </c>
      <c r="E191" s="2">
        <f t="shared" si="5"/>
        <v>1.0002402457456672</v>
      </c>
      <c r="F191">
        <f t="shared" si="4"/>
        <v>2.2697542543328453E-3</v>
      </c>
      <c r="H191" s="1"/>
    </row>
    <row r="192" spans="1:8" x14ac:dyDescent="0.25">
      <c r="A192" s="40">
        <v>251.65824000000001</v>
      </c>
      <c r="B192" s="40">
        <v>1.00187</v>
      </c>
      <c r="E192" s="2">
        <f t="shared" si="5"/>
        <v>1.0001794842536162</v>
      </c>
      <c r="F192">
        <f t="shared" si="4"/>
        <v>1.6905157463837917E-3</v>
      </c>
      <c r="H192" s="1"/>
    </row>
    <row r="193" spans="1:8" x14ac:dyDescent="0.25">
      <c r="A193" s="40">
        <v>268.43545599999999</v>
      </c>
      <c r="B193" s="40">
        <v>1.0010300000000001</v>
      </c>
      <c r="E193" s="2">
        <f t="shared" si="5"/>
        <v>1.0001275367009694</v>
      </c>
      <c r="F193">
        <f t="shared" si="4"/>
        <v>9.0246329903065359E-4</v>
      </c>
      <c r="H193" s="1"/>
    </row>
    <row r="194" spans="1:8" x14ac:dyDescent="0.25">
      <c r="A194" s="40">
        <v>301.98988800000001</v>
      </c>
      <c r="B194" s="40">
        <v>1.0010699999999999</v>
      </c>
      <c r="E194" s="2">
        <f t="shared" si="5"/>
        <v>1.000043699232201</v>
      </c>
      <c r="F194">
        <f t="shared" ref="F194:F238" si="6">B194-E194</f>
        <v>1.02630076779886E-3</v>
      </c>
      <c r="H194" s="1"/>
    </row>
    <row r="195" spans="1:8" x14ac:dyDescent="0.25">
      <c r="A195" s="40">
        <v>335.54432000000003</v>
      </c>
      <c r="B195" s="40">
        <v>1.0004599999999999</v>
      </c>
      <c r="E195" s="2">
        <f t="shared" ref="E195:E238" si="7">$D$2+1/$D$3*($D$8/(1+A195/$D$4)/SQRT(1+A195/$D$4/$D$5/$D$5)+(1-$D$8)/(1+A195/$D$6)/SQRT(1+A195/$D$6/$D$7/$D$7))*(1+$D$9*EXP(-A195/$D$10)+$D$11*EXP(-A195/$D$12))</f>
        <v>0.99997932856319904</v>
      </c>
      <c r="F195">
        <f t="shared" si="6"/>
        <v>4.8067143680086133E-4</v>
      </c>
      <c r="H195" s="1"/>
    </row>
    <row r="196" spans="1:8" x14ac:dyDescent="0.25">
      <c r="A196" s="40">
        <v>369.09875199999999</v>
      </c>
      <c r="B196" s="40">
        <v>0.99989499999999998</v>
      </c>
      <c r="E196" s="2">
        <f t="shared" si="7"/>
        <v>0.99992862740183808</v>
      </c>
      <c r="F196">
        <f t="shared" si="6"/>
        <v>-3.3627401838098869E-5</v>
      </c>
      <c r="H196" s="1"/>
    </row>
    <row r="197" spans="1:8" x14ac:dyDescent="0.25">
      <c r="A197" s="40">
        <v>402.65318400000001</v>
      </c>
      <c r="B197" s="40">
        <v>1.0003599999999999</v>
      </c>
      <c r="E197" s="2">
        <f t="shared" si="7"/>
        <v>0.99988784611601067</v>
      </c>
      <c r="F197">
        <f t="shared" si="6"/>
        <v>4.7215388398924585E-4</v>
      </c>
      <c r="H197" s="1"/>
    </row>
    <row r="198" spans="1:8" x14ac:dyDescent="0.25">
      <c r="A198" s="40">
        <v>436.20761599999997</v>
      </c>
      <c r="B198" s="40">
        <v>1.0001899999999999</v>
      </c>
      <c r="E198" s="2">
        <f t="shared" si="7"/>
        <v>0.99985446243387455</v>
      </c>
      <c r="F198">
        <f t="shared" si="6"/>
        <v>3.3553756612536567E-4</v>
      </c>
      <c r="H198" s="1"/>
    </row>
    <row r="199" spans="1:8" x14ac:dyDescent="0.25">
      <c r="A199" s="40">
        <v>469.76204799999999</v>
      </c>
      <c r="B199" s="40">
        <v>1.0006900000000001</v>
      </c>
      <c r="E199" s="2">
        <f t="shared" si="7"/>
        <v>0.99982672338314404</v>
      </c>
      <c r="F199">
        <f t="shared" si="6"/>
        <v>8.6327661685603463E-4</v>
      </c>
      <c r="H199" s="1"/>
    </row>
    <row r="200" spans="1:8" x14ac:dyDescent="0.25">
      <c r="A200" s="40">
        <v>503.31648000000001</v>
      </c>
      <c r="B200" s="40">
        <v>0.99986200000000003</v>
      </c>
      <c r="E200" s="2">
        <f t="shared" si="7"/>
        <v>0.99980337654130413</v>
      </c>
      <c r="F200">
        <f t="shared" si="6"/>
        <v>5.862345869589447E-5</v>
      </c>
      <c r="H200" s="1"/>
    </row>
    <row r="201" spans="1:8" x14ac:dyDescent="0.25">
      <c r="A201" s="40">
        <v>536.87091199999998</v>
      </c>
      <c r="B201" s="40">
        <v>1.00023</v>
      </c>
      <c r="E201" s="2">
        <f t="shared" si="7"/>
        <v>0.99978350567283769</v>
      </c>
      <c r="F201">
        <f t="shared" si="6"/>
        <v>4.4649432716226123E-4</v>
      </c>
      <c r="H201" s="1"/>
    </row>
    <row r="202" spans="1:8" x14ac:dyDescent="0.25">
      <c r="A202" s="40">
        <v>603.97977600000002</v>
      </c>
      <c r="B202" s="40">
        <v>1.00142</v>
      </c>
      <c r="E202" s="2">
        <f t="shared" si="7"/>
        <v>0.9997516191052449</v>
      </c>
      <c r="F202">
        <f t="shared" si="6"/>
        <v>1.6683808947550727E-3</v>
      </c>
      <c r="H202" s="1"/>
    </row>
    <row r="203" spans="1:8" x14ac:dyDescent="0.25">
      <c r="A203" s="40">
        <v>671.08864000000005</v>
      </c>
      <c r="B203" s="40">
        <v>1.0013700000000001</v>
      </c>
      <c r="E203" s="2">
        <f t="shared" si="7"/>
        <v>0.99972729873742661</v>
      </c>
      <c r="F203">
        <f t="shared" si="6"/>
        <v>1.6427012625734871E-3</v>
      </c>
      <c r="H203" s="1"/>
    </row>
    <row r="204" spans="1:8" x14ac:dyDescent="0.25">
      <c r="A204" s="40">
        <v>738.19750399999998</v>
      </c>
      <c r="B204" s="40">
        <v>1.0004999999999999</v>
      </c>
      <c r="E204" s="2">
        <f t="shared" si="7"/>
        <v>0.99970824870750574</v>
      </c>
      <c r="F204">
        <f t="shared" si="6"/>
        <v>7.9175129249420273E-4</v>
      </c>
      <c r="H204" s="1"/>
    </row>
    <row r="205" spans="1:8" x14ac:dyDescent="0.25">
      <c r="A205" s="40">
        <v>805.30636800000002</v>
      </c>
      <c r="B205" s="40">
        <v>1.0011000000000001</v>
      </c>
      <c r="E205" s="2">
        <f t="shared" si="7"/>
        <v>0.99969299746300566</v>
      </c>
      <c r="F205">
        <f t="shared" si="6"/>
        <v>1.4070025369944394E-3</v>
      </c>
      <c r="H205" s="1"/>
    </row>
    <row r="206" spans="1:8" x14ac:dyDescent="0.25">
      <c r="A206" s="40">
        <v>872.41523199999995</v>
      </c>
      <c r="B206" s="40">
        <v>1.0007699999999999</v>
      </c>
      <c r="E206" s="2">
        <f t="shared" si="7"/>
        <v>0.9996805627338915</v>
      </c>
      <c r="F206">
        <f t="shared" si="6"/>
        <v>1.0894372661084395E-3</v>
      </c>
      <c r="H206" s="1"/>
    </row>
    <row r="207" spans="1:8" x14ac:dyDescent="0.25">
      <c r="A207" s="40">
        <v>939.52409599999999</v>
      </c>
      <c r="B207" s="40">
        <v>1.00108</v>
      </c>
      <c r="E207" s="2">
        <f t="shared" si="7"/>
        <v>0.99967026636521861</v>
      </c>
      <c r="F207">
        <f t="shared" si="6"/>
        <v>1.4097336347813627E-3</v>
      </c>
      <c r="H207" s="1"/>
    </row>
    <row r="208" spans="1:8" x14ac:dyDescent="0.25">
      <c r="A208" s="40">
        <v>1006.63296</v>
      </c>
      <c r="B208" s="40">
        <v>1.0004500000000001</v>
      </c>
      <c r="E208" s="2">
        <f t="shared" si="7"/>
        <v>0.99966162663962643</v>
      </c>
      <c r="F208">
        <f t="shared" si="6"/>
        <v>7.8837336037362871E-4</v>
      </c>
      <c r="H208" s="1"/>
    </row>
    <row r="209" spans="1:8" x14ac:dyDescent="0.25">
      <c r="A209" s="40">
        <v>1073.741824</v>
      </c>
      <c r="B209" s="40">
        <v>1.0009600000000001</v>
      </c>
      <c r="E209" s="2">
        <f t="shared" si="7"/>
        <v>0.99965429293391783</v>
      </c>
      <c r="F209">
        <f t="shared" si="6"/>
        <v>1.3057070660822401E-3</v>
      </c>
      <c r="H209" s="1"/>
    </row>
    <row r="210" spans="1:8" x14ac:dyDescent="0.25">
      <c r="A210" s="40">
        <v>1207.959552</v>
      </c>
      <c r="B210" s="40">
        <v>1.00108</v>
      </c>
      <c r="E210" s="2">
        <f t="shared" si="7"/>
        <v>0.99964256426516196</v>
      </c>
      <c r="F210">
        <f t="shared" si="6"/>
        <v>1.4374357348380107E-3</v>
      </c>
      <c r="H210" s="1"/>
    </row>
    <row r="211" spans="1:8" x14ac:dyDescent="0.25">
      <c r="A211" s="40">
        <v>1342.1772800000001</v>
      </c>
      <c r="B211" s="40">
        <v>1.0020100000000001</v>
      </c>
      <c r="E211" s="2">
        <f t="shared" si="7"/>
        <v>0.99963365323984033</v>
      </c>
      <c r="F211">
        <f t="shared" si="6"/>
        <v>2.3763467601597421E-3</v>
      </c>
      <c r="H211" s="1"/>
    </row>
    <row r="212" spans="1:8" x14ac:dyDescent="0.25">
      <c r="A212" s="40">
        <v>1476.395008</v>
      </c>
      <c r="B212" s="40">
        <v>1.00166</v>
      </c>
      <c r="E212" s="2">
        <f t="shared" si="7"/>
        <v>0.99962669545617955</v>
      </c>
      <c r="F212">
        <f t="shared" si="6"/>
        <v>2.0333045438204467E-3</v>
      </c>
      <c r="H212" s="1"/>
    </row>
    <row r="213" spans="1:8" x14ac:dyDescent="0.25">
      <c r="A213" s="40">
        <v>1610.612736</v>
      </c>
      <c r="B213" s="40">
        <v>1.00281</v>
      </c>
      <c r="E213" s="2">
        <f t="shared" si="7"/>
        <v>0.99962113993172974</v>
      </c>
      <c r="F213">
        <f t="shared" si="6"/>
        <v>3.1888600682702384E-3</v>
      </c>
      <c r="H213" s="1"/>
    </row>
    <row r="214" spans="1:8" x14ac:dyDescent="0.25">
      <c r="A214" s="40">
        <v>1744.8304639999999</v>
      </c>
      <c r="B214" s="40">
        <v>1.0016400000000001</v>
      </c>
      <c r="E214" s="2">
        <f t="shared" si="7"/>
        <v>0.9996166205841146</v>
      </c>
      <c r="F214">
        <f t="shared" si="6"/>
        <v>2.0233794158854845E-3</v>
      </c>
      <c r="H214" s="1"/>
    </row>
    <row r="215" spans="1:8" x14ac:dyDescent="0.25">
      <c r="A215" s="40">
        <v>1879.048192</v>
      </c>
      <c r="B215" s="40">
        <v>1.0016700000000001</v>
      </c>
      <c r="E215" s="2">
        <f t="shared" si="7"/>
        <v>0.99961288566504747</v>
      </c>
      <c r="F215">
        <f t="shared" si="6"/>
        <v>2.0571143349525922E-3</v>
      </c>
      <c r="H215" s="1"/>
    </row>
    <row r="216" spans="1:8" x14ac:dyDescent="0.25">
      <c r="A216" s="40">
        <v>2013.2659200000001</v>
      </c>
      <c r="B216" s="40">
        <v>1.00092</v>
      </c>
      <c r="E216" s="2">
        <f t="shared" si="7"/>
        <v>0.99960975695349652</v>
      </c>
      <c r="F216">
        <f t="shared" si="6"/>
        <v>1.310243046503512E-3</v>
      </c>
      <c r="H216" s="1"/>
    </row>
    <row r="217" spans="1:8" x14ac:dyDescent="0.25">
      <c r="A217" s="40">
        <v>2147.4836479999999</v>
      </c>
      <c r="B217" s="40">
        <v>1.0017</v>
      </c>
      <c r="E217" s="2">
        <f t="shared" si="7"/>
        <v>0.99960710511075823</v>
      </c>
      <c r="F217">
        <f t="shared" si="6"/>
        <v>2.0928948892418031E-3</v>
      </c>
      <c r="H217" s="1"/>
    </row>
    <row r="218" spans="1:8" x14ac:dyDescent="0.25">
      <c r="A218" s="40">
        <v>2415.9191040000001</v>
      </c>
      <c r="B218" s="40">
        <v>1.0031099999999999</v>
      </c>
      <c r="E218" s="2">
        <f t="shared" si="7"/>
        <v>0.99960287187705066</v>
      </c>
      <c r="F218">
        <f t="shared" si="6"/>
        <v>3.5071281229492879E-3</v>
      </c>
      <c r="H218" s="1"/>
    </row>
    <row r="219" spans="1:8" x14ac:dyDescent="0.25">
      <c r="A219" s="40">
        <v>2684.3545600000002</v>
      </c>
      <c r="B219" s="40">
        <v>1.0019400000000001</v>
      </c>
      <c r="E219" s="2">
        <f t="shared" si="7"/>
        <v>0.99959966237179243</v>
      </c>
      <c r="F219">
        <f t="shared" si="6"/>
        <v>2.3403376282076227E-3</v>
      </c>
      <c r="H219" s="1"/>
    </row>
    <row r="220" spans="1:8" x14ac:dyDescent="0.25">
      <c r="A220" s="40">
        <v>2952.7900159999999</v>
      </c>
      <c r="B220" s="40">
        <v>1.00119</v>
      </c>
      <c r="E220" s="2">
        <f t="shared" si="7"/>
        <v>0.99959716065922488</v>
      </c>
      <c r="F220">
        <f t="shared" si="6"/>
        <v>1.5928393407751429E-3</v>
      </c>
      <c r="H220" s="1"/>
    </row>
    <row r="221" spans="1:8" x14ac:dyDescent="0.25">
      <c r="A221" s="40">
        <v>3221.2254720000001</v>
      </c>
      <c r="B221" s="40">
        <v>1.0017199999999999</v>
      </c>
      <c r="E221" s="2">
        <f t="shared" si="7"/>
        <v>0.99959516597714382</v>
      </c>
      <c r="F221">
        <f t="shared" si="6"/>
        <v>2.1248340228561258E-3</v>
      </c>
      <c r="H221" s="1"/>
    </row>
    <row r="222" spans="1:8" x14ac:dyDescent="0.25">
      <c r="A222" s="40">
        <v>3489.6609279999998</v>
      </c>
      <c r="B222" s="40">
        <v>1.00159</v>
      </c>
      <c r="E222" s="2">
        <f t="shared" si="7"/>
        <v>0.99959354527588373</v>
      </c>
      <c r="F222">
        <f t="shared" si="6"/>
        <v>1.9964547241162478E-3</v>
      </c>
      <c r="H222" s="1"/>
    </row>
    <row r="223" spans="1:8" x14ac:dyDescent="0.25">
      <c r="A223" s="40">
        <v>3758.0963839999999</v>
      </c>
      <c r="B223" s="40">
        <v>1.0019</v>
      </c>
      <c r="E223" s="2">
        <f t="shared" si="7"/>
        <v>0.99959220725622411</v>
      </c>
      <c r="F223">
        <f t="shared" si="6"/>
        <v>2.3077927437759049E-3</v>
      </c>
      <c r="H223" s="1"/>
    </row>
    <row r="224" spans="1:8" x14ac:dyDescent="0.25">
      <c r="A224" s="40">
        <v>4026.5318400000001</v>
      </c>
      <c r="B224" s="40">
        <v>1.00196</v>
      </c>
      <c r="E224" s="2">
        <f t="shared" si="7"/>
        <v>0.99959108740307701</v>
      </c>
      <c r="F224">
        <f t="shared" si="6"/>
        <v>2.3689125969229563E-3</v>
      </c>
      <c r="H224" s="1"/>
    </row>
    <row r="225" spans="1:8" x14ac:dyDescent="0.25">
      <c r="A225" s="40">
        <v>4294.9672959999998</v>
      </c>
      <c r="B225" s="40">
        <v>1.0002</v>
      </c>
      <c r="E225" s="2">
        <f t="shared" si="7"/>
        <v>0.99959013897082349</v>
      </c>
      <c r="F225">
        <f t="shared" si="6"/>
        <v>6.0986102917648388E-4</v>
      </c>
      <c r="H225" s="1"/>
    </row>
    <row r="226" spans="1:8" x14ac:dyDescent="0.25">
      <c r="A226" s="40">
        <v>4831.8382080000001</v>
      </c>
      <c r="B226" s="40">
        <v>1.0009300000000001</v>
      </c>
      <c r="E226" s="2">
        <f t="shared" si="7"/>
        <v>0.99958862641418444</v>
      </c>
      <c r="F226">
        <f t="shared" si="6"/>
        <v>1.3413735858156528E-3</v>
      </c>
      <c r="H226" s="1"/>
    </row>
    <row r="227" spans="1:8" x14ac:dyDescent="0.25">
      <c r="A227" s="40">
        <v>5368.7091200000004</v>
      </c>
      <c r="B227" s="40">
        <v>1.00152</v>
      </c>
      <c r="E227" s="2">
        <f t="shared" si="7"/>
        <v>0.99958748089763805</v>
      </c>
      <c r="F227">
        <f t="shared" si="6"/>
        <v>1.9325191023619182E-3</v>
      </c>
      <c r="H227" s="1"/>
    </row>
    <row r="228" spans="1:8" x14ac:dyDescent="0.25">
      <c r="A228" s="40">
        <v>5905.5800319999998</v>
      </c>
      <c r="B228" s="40">
        <v>1.00135</v>
      </c>
      <c r="E228" s="2">
        <f t="shared" si="7"/>
        <v>0.99958658879589868</v>
      </c>
      <c r="F228">
        <f t="shared" si="6"/>
        <v>1.7634112041012839E-3</v>
      </c>
      <c r="H228" s="1"/>
    </row>
    <row r="229" spans="1:8" x14ac:dyDescent="0.25">
      <c r="A229" s="40">
        <v>6442.4509440000002</v>
      </c>
      <c r="B229" s="40">
        <v>1.0019899999999999</v>
      </c>
      <c r="E229" s="2">
        <f t="shared" si="7"/>
        <v>0.99958587802291843</v>
      </c>
      <c r="F229">
        <f t="shared" si="6"/>
        <v>2.4041219770815081E-3</v>
      </c>
      <c r="H229" s="1"/>
    </row>
    <row r="230" spans="1:8" x14ac:dyDescent="0.25">
      <c r="A230" s="40">
        <v>6979.3218559999996</v>
      </c>
      <c r="B230" s="40">
        <v>1.00166</v>
      </c>
      <c r="E230" s="2">
        <f t="shared" si="7"/>
        <v>0.99958530086969255</v>
      </c>
      <c r="F230">
        <f t="shared" si="6"/>
        <v>2.0746991303074447E-3</v>
      </c>
      <c r="H230" s="1"/>
    </row>
    <row r="231" spans="1:8" x14ac:dyDescent="0.25">
      <c r="A231" s="40">
        <v>7516.1927679999999</v>
      </c>
      <c r="B231" s="40">
        <v>1.0015499999999999</v>
      </c>
      <c r="E231" s="2">
        <f t="shared" si="7"/>
        <v>0.99958482463493614</v>
      </c>
      <c r="F231">
        <f t="shared" si="6"/>
        <v>1.9651753650637982E-3</v>
      </c>
      <c r="H231" s="1"/>
    </row>
    <row r="232" spans="1:8" x14ac:dyDescent="0.25">
      <c r="A232" s="40">
        <v>8053.0636800000002</v>
      </c>
      <c r="B232" s="40">
        <v>1.0013300000000001</v>
      </c>
      <c r="E232" s="2">
        <f t="shared" si="7"/>
        <v>0.9995844262329544</v>
      </c>
      <c r="F232">
        <f t="shared" si="6"/>
        <v>1.7455737670456495E-3</v>
      </c>
      <c r="H232" s="1"/>
    </row>
    <row r="233" spans="1:8" x14ac:dyDescent="0.25">
      <c r="A233" s="40">
        <v>8589.9345919999996</v>
      </c>
      <c r="B233" s="40">
        <v>1.00159</v>
      </c>
      <c r="E233" s="2">
        <f t="shared" si="7"/>
        <v>0.9995840889503782</v>
      </c>
      <c r="F233">
        <f t="shared" si="6"/>
        <v>2.005911049621778E-3</v>
      </c>
      <c r="H233" s="1"/>
    </row>
    <row r="234" spans="1:8" x14ac:dyDescent="0.25">
      <c r="A234" s="40">
        <v>9663.6764160000002</v>
      </c>
      <c r="B234" s="40">
        <v>1.00084</v>
      </c>
      <c r="E234" s="2">
        <f t="shared" si="7"/>
        <v>0.99958355131885557</v>
      </c>
      <c r="F234">
        <f t="shared" si="6"/>
        <v>1.2564486811443842E-3</v>
      </c>
      <c r="H234" s="1"/>
    </row>
    <row r="235" spans="1:8" x14ac:dyDescent="0.25">
      <c r="A235" s="40">
        <v>10737.418240000001</v>
      </c>
      <c r="B235" s="40">
        <v>1.0009999999999999</v>
      </c>
      <c r="E235" s="2">
        <f t="shared" si="7"/>
        <v>0.9995831443780373</v>
      </c>
      <c r="F235">
        <f t="shared" si="6"/>
        <v>1.4168556219625872E-3</v>
      </c>
      <c r="H235" s="1"/>
    </row>
    <row r="236" spans="1:8" x14ac:dyDescent="0.25">
      <c r="A236" s="40">
        <v>11811.160064</v>
      </c>
      <c r="B236" s="40">
        <v>1.00187</v>
      </c>
      <c r="E236" s="2">
        <f t="shared" si="7"/>
        <v>0.99958282760560146</v>
      </c>
      <c r="F236">
        <f t="shared" si="6"/>
        <v>2.2871723943985733E-3</v>
      </c>
      <c r="H236" s="1"/>
    </row>
    <row r="237" spans="1:8" x14ac:dyDescent="0.25">
      <c r="A237" s="40">
        <v>12884.901888</v>
      </c>
      <c r="B237" s="40">
        <v>1.0018499999999999</v>
      </c>
      <c r="E237" s="2">
        <f t="shared" si="7"/>
        <v>0.99958257531491357</v>
      </c>
      <c r="F237">
        <f t="shared" si="6"/>
        <v>2.2674246850863389E-3</v>
      </c>
      <c r="H237" s="1"/>
    </row>
    <row r="238" spans="1:8" x14ac:dyDescent="0.25">
      <c r="A238" s="40">
        <v>13958.643711999999</v>
      </c>
      <c r="B238" s="40">
        <v>1.0019199999999999</v>
      </c>
      <c r="E238" s="2">
        <f t="shared" si="7"/>
        <v>0.9995823705173722</v>
      </c>
      <c r="F238">
        <f t="shared" si="6"/>
        <v>2.3376294826277233E-3</v>
      </c>
      <c r="H238" s="1"/>
    </row>
    <row r="239" spans="1:8" x14ac:dyDescent="0.25">
      <c r="A239" s="40">
        <v>15032.385536</v>
      </c>
      <c r="B239" s="40">
        <v>1.0022500000000001</v>
      </c>
      <c r="H239" s="1"/>
    </row>
    <row r="240" spans="1:8" x14ac:dyDescent="0.25">
      <c r="A240" s="40">
        <v>16106.12736</v>
      </c>
      <c r="B240" s="40">
        <v>1.0025599999999999</v>
      </c>
      <c r="H240" s="1"/>
    </row>
    <row r="241" spans="1:8" x14ac:dyDescent="0.25">
      <c r="A241" s="40">
        <v>17179.869183999999</v>
      </c>
      <c r="B241" s="40">
        <v>1.006</v>
      </c>
      <c r="H241" s="1"/>
    </row>
    <row r="242" spans="1:8" x14ac:dyDescent="0.25">
      <c r="A242" s="40">
        <v>19327.352832</v>
      </c>
      <c r="B242" s="40">
        <v>1.00664</v>
      </c>
      <c r="H242" s="1"/>
    </row>
    <row r="243" spans="1:8" x14ac:dyDescent="0.25">
      <c r="A243" s="40">
        <v>21474.836480000002</v>
      </c>
      <c r="B243" s="40">
        <v>1.0088200000000001</v>
      </c>
      <c r="H243" s="1"/>
    </row>
    <row r="244" spans="1:8" x14ac:dyDescent="0.25">
      <c r="A244" s="40">
        <v>23622.320127999999</v>
      </c>
      <c r="B244" s="40">
        <v>1.0093099999999999</v>
      </c>
      <c r="H244" s="1"/>
    </row>
    <row r="245" spans="1:8" x14ac:dyDescent="0.25">
      <c r="A245" s="40">
        <v>25769.803776000001</v>
      </c>
      <c r="B245" s="40">
        <v>1.0100800000000001</v>
      </c>
      <c r="H245" s="1"/>
    </row>
    <row r="246" spans="1:8" x14ac:dyDescent="0.25">
      <c r="A246" s="40">
        <v>27917.287423999998</v>
      </c>
      <c r="B246" s="40">
        <v>1.0106900000000001</v>
      </c>
      <c r="H246" s="1"/>
    </row>
    <row r="247" spans="1:8" x14ac:dyDescent="0.25">
      <c r="H247" s="1"/>
    </row>
    <row r="248" spans="1:8" x14ac:dyDescent="0.25">
      <c r="H248" s="1"/>
    </row>
  </sheetData>
  <phoneticPr fontId="0" type="noConversion"/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1_Rh110 in H20</vt:lpstr>
      <vt:lpstr>2_Rh110 in H20</vt:lpstr>
      <vt:lpstr>1_Rh110 in buffer</vt:lpstr>
      <vt:lpstr>2_Rh110 in buffer</vt:lpstr>
      <vt:lpstr>1_EGFP</vt:lpstr>
      <vt:lpstr>2_EGFP</vt:lpstr>
      <vt:lpstr>1_EGFP+Rh110</vt:lpstr>
      <vt:lpstr>2_EGFP+Rh110</vt:lpstr>
      <vt:lpstr>1_Alexa-488-IgG</vt:lpstr>
      <vt:lpstr>2_Alexa-488-IgG</vt:lpstr>
      <vt:lpstr>1_Alexa488-IgG + Rh110</vt:lpstr>
      <vt:lpstr>2_Alexa488-IgG + Rh110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Kalinin, Stanislav</dc:creator>
  <cp:lastModifiedBy>Felekyan, Suren</cp:lastModifiedBy>
  <dcterms:created xsi:type="dcterms:W3CDTF">2012-01-09T12:05:32Z</dcterms:created>
  <dcterms:modified xsi:type="dcterms:W3CDTF">2026-01-14T16:54:48Z</dcterms:modified>
</cp:coreProperties>
</file>